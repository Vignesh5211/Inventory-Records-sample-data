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igne\Downloads\"/>
    </mc:Choice>
  </mc:AlternateContent>
  <xr:revisionPtr revIDLastSave="0" documentId="13_ncr:1_{7672F9B3-BCFF-496D-8CB8-76131BD79DE5}" xr6:coauthVersionLast="47" xr6:coauthVersionMax="47" xr10:uidLastSave="{00000000-0000-0000-0000-000000000000}"/>
  <bookViews>
    <workbookView xWindow="-108" yWindow="-108" windowWidth="23256" windowHeight="12456" xr2:uid="{A31F09EB-BC4A-4E28-AFD6-656B84808B88}"/>
  </bookViews>
  <sheets>
    <sheet name="Inventory Records Data" sheetId="2" r:id="rId1"/>
    <sheet name="TOP3 PRODUCTS" sheetId="5" r:id="rId2"/>
    <sheet name="sum of purchase" sheetId="6" r:id="rId3"/>
    <sheet name="stock level " sheetId="7" r:id="rId4"/>
    <sheet name="Sum of number units sold " sheetId="4" r:id="rId5"/>
  </sheets>
  <calcPr calcId="191029"/>
  <pivotCaches>
    <pivotCache cacheId="0" r:id="rId6"/>
    <pivotCache cacheId="1" r:id="rId7"/>
    <pivotCache cacheId="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" l="1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7" i="2"/>
</calcChain>
</file>

<file path=xl/sharedStrings.xml><?xml version="1.0" encoding="utf-8"?>
<sst xmlns="http://schemas.openxmlformats.org/spreadsheetml/2006/main" count="261" uniqueCount="110">
  <si>
    <t>Excel Sample Data</t>
  </si>
  <si>
    <t>Inventory Records Data</t>
  </si>
  <si>
    <t>Product Name</t>
  </si>
  <si>
    <t>Opening 
Stock</t>
  </si>
  <si>
    <t>Purchase/
Stock in</t>
  </si>
  <si>
    <t>Number of 
Units Sold</t>
  </si>
  <si>
    <t>Hand-In-
Stock</t>
  </si>
  <si>
    <t>Cost Price 
Per Unit (USD)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</si>
  <si>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</si>
  <si>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</si>
  <si>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</si>
  <si>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</si>
  <si>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</si>
  <si>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</si>
  <si>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</si>
  <si>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</si>
  <si>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</si>
  <si>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</si>
  <si>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</si>
  <si>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</si>
  <si>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</si>
  <si>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</si>
  <si>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</si>
  <si>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</si>
  <si>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</si>
  <si>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</si>
  <si>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</si>
  <si>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</si>
  <si>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</si>
  <si>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</si>
  <si>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</si>
  <si>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</si>
  <si>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</si>
  <si>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</si>
  <si>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</si>
  <si>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</si>
  <si>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</si>
  <si>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</si>
  <si>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</si>
  <si>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</si>
  <si>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</si>
  <si>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</si>
  <si>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</si>
  <si>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</si>
  <si>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</si>
  <si>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</si>
  <si>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</si>
  <si>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</si>
  <si>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</si>
  <si>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</si>
  <si>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</si>
  <si>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</si>
  <si>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</si>
  <si>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</si>
  <si>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</si>
  <si>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</si>
  <si>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</si>
  <si>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</si>
  <si>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</si>
  <si>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</si>
  <si>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</si>
  <si>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</si>
  <si>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</si>
  <si>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</si>
  <si>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</si>
  <si>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</si>
  <si>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</si>
  <si>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</si>
  <si>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</si>
  <si>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</si>
  <si>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</si>
  <si>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</si>
  <si>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</si>
  <si>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</si>
  <si>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</si>
  <si>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</si>
  <si>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</si>
  <si>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</si>
  <si>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</si>
  <si>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</si>
  <si>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</si>
  <si>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</si>
  <si>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</si>
  <si>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</si>
  <si>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</si>
  <si>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</si>
  <si>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</si>
  <si>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</si>
  <si>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</si>
  <si>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</si>
  <si>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</si>
  <si>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</si>
  <si>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</si>
  <si>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</si>
  <si>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</si>
  <si>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</si>
  <si>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</si>
  <si>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</si>
  <si>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</si>
  <si>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</si>
  <si>
    <t>Product_ID</t>
  </si>
  <si>
    <t>TOTAL STOCK VALUE (USD)</t>
  </si>
  <si>
    <t>STOCK TURNOVER RATIO</t>
  </si>
  <si>
    <t>Row Labels</t>
  </si>
  <si>
    <t>Grand Total</t>
  </si>
  <si>
    <t>Sum of Number of 
Units Sold</t>
  </si>
  <si>
    <t>(Multiple Items)</t>
  </si>
  <si>
    <t>Sum of Purchase/
Stock in</t>
  </si>
  <si>
    <t>Sum of TOTAL STOCK VALUE (USD)</t>
  </si>
  <si>
    <t>Sum of Cost Price 
Per Unit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</si>
</sst>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272760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164" fontId="4" fillId="3" borderId="2" xfId="0" applyNumberFormat="1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vertical="center"/>
    </xf>
    <xf numFmtId="16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[Inventory-Records-Sample-Data.xlsx]TOP3 PRODUCTS!PivotTable1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3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'TOP3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'TOP3 PRODUCTS'!$A$4:$A$7</c:f>
              <c:strCache>
                <c:ptCount val="3"/>
                <c:pt idx="0">
                  <c:v>Ethernet Cable</c:v>
                </c:pt>
                <c:pt idx="1">
                  <c:v>Keyboard</c:v>
                </c:pt>
                <c:pt idx="2">
                  <c:v>Smartphone</c:v>
                </c:pt>
              </c:strCache>
            </c:strRef>
          </c:cat>
          <c:val>
            <c:numRef>
              <c:f>'TOP3 PRODUCTS'!$B$4:$B$7</c:f>
              <c:numCache>
                <c:formatCode>General</c:formatCode>
                <c:ptCount val="3"/>
                <c:pt idx="0">
                  <c:v>15</c:v>
                </c:pt>
                <c:pt idx="1">
                  <c:v>15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4-4CEA-80EB-70E880A6C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031124624"/>
        <c:axId val="1031114544"/>
      </c:barChart>
      <c:catAx>
        <c:axId val="103112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114544"/>
        <c:crosses val="autoZero"/>
        <c:auto val="1"/>
        <c:lblAlgn val="ctr"/>
        <c:lblOffset val="100"/>
        <c:noMultiLvlLbl val="0"/>
      </c:catAx>
      <c:valAx>
        <c:axId val="103111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12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[Inventory-Records-Sample-Data.xlsx]sum of purchase!PivotTable2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'sum of purchase'!$B$3</c:f>
              <c:strCache>
                <c:ptCount val="1"/>
                <c:pt idx="0">
                  <c:v>Sum of Purchase/
Stock 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D2-4ECF-BDAF-E6978A9427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D2-4ECF-BDAF-E6978A9427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D2-4ECF-BDAF-E6978A9427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CD2-4ECF-BDAF-E6978A9427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CD2-4ECF-BDAF-E6978A94273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CD2-4ECF-BDAF-E6978A94273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CD2-4ECF-BDAF-E6978A94273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CD2-4ECF-BDAF-E6978A94273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CD2-4ECF-BDAF-E6978A94273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CD2-4ECF-BDAF-E6978A94273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CD2-4ECF-BDAF-E6978A94273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CD2-4ECF-BDAF-E6978A94273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CD2-4ECF-BDAF-E6978A94273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CD2-4ECF-BDAF-E6978A94273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CD2-4ECF-BDAF-E6978A94273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CD2-4ECF-BDAF-E6978A94273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CD2-4ECF-BDAF-E6978A94273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CD2-4ECF-BDAF-E6978A94273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CD2-4ECF-BDAF-E6978A94273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CD2-4ECF-BDAF-E6978A94273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FCD2-4ECF-BDAF-E6978A94273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FCD2-4ECF-BDAF-E6978A94273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FCD2-4ECF-BDAF-E6978A94273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FCD2-4ECF-BDAF-E6978A94273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FCD2-4ECF-BDAF-E6978A94273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FCD2-4ECF-BDAF-E6978A94273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FCD2-4ECF-BDAF-E6978A942736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FCD2-4ECF-BDAF-E6978A942736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FCD2-4ECF-BDAF-E6978A942736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FCD2-4ECF-BDAF-E6978A942736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FCD2-4ECF-BDAF-E6978A942736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FCD2-4ECF-BDAF-E6978A942736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FCD2-4ECF-BDAF-E6978A942736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FCD2-4ECF-BDAF-E6978A942736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FCD2-4ECF-BDAF-E6978A942736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FCD2-4ECF-BDAF-E6978A942736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FCD2-4ECF-BDAF-E6978A942736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FCD2-4ECF-BDAF-E6978A942736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FCD2-4ECF-BDAF-E6978A942736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FCD2-4ECF-BDAF-E6978A942736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FCD2-4ECF-BDAF-E6978A942736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FCD2-4ECF-BDAF-E6978A942736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FCD2-4ECF-BDAF-E6978A942736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FCD2-4ECF-BDAF-E6978A942736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FCD2-4ECF-BDAF-E6978A942736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FCD2-4ECF-BDAF-E6978A942736}"/>
              </c:ext>
            </c:extLst>
          </c:dPt>
          <c:cat>
            <c:strRef>
              <c:f>'sum of purchase'!$A$4:$A$50</c:f>
              <c:strCache>
                <c:ptCount val="46"/>
                <c:pt idx="0">
                  <c:v>Anti-Glare Screen Protector</c:v>
                </c:pt>
                <c:pt idx="1">
                  <c:v>Cable Management Kit</c:v>
                </c:pt>
                <c:pt idx="2">
                  <c:v>CPU</c:v>
                </c:pt>
                <c:pt idx="3">
                  <c:v>CPU Cooler</c:v>
                </c:pt>
                <c:pt idx="4">
                  <c:v>Desk Chair</c:v>
                </c:pt>
                <c:pt idx="5">
                  <c:v>Desk Lamp</c:v>
                </c:pt>
                <c:pt idx="6">
                  <c:v>Ethernet Cable</c:v>
                </c:pt>
                <c:pt idx="7">
                  <c:v>External DVD Drive</c:v>
                </c:pt>
                <c:pt idx="8">
                  <c:v>External Hard Drive</c:v>
                </c:pt>
                <c:pt idx="9">
                  <c:v>Gaming Chair</c:v>
                </c:pt>
                <c:pt idx="10">
                  <c:v>Gaming Desk</c:v>
                </c:pt>
                <c:pt idx="11">
                  <c:v>Gaming Headset</c:v>
                </c:pt>
                <c:pt idx="12">
                  <c:v>Gaming Keyboard</c:v>
                </c:pt>
                <c:pt idx="13">
                  <c:v>Gaming Monitor</c:v>
                </c:pt>
                <c:pt idx="14">
                  <c:v>Gaming Mouse</c:v>
                </c:pt>
                <c:pt idx="15">
                  <c:v>Graphics Card</c:v>
                </c:pt>
                <c:pt idx="16">
                  <c:v>HDD</c:v>
                </c:pt>
                <c:pt idx="17">
                  <c:v>Headphones</c:v>
                </c:pt>
                <c:pt idx="18">
                  <c:v>Keyboard</c:v>
                </c:pt>
                <c:pt idx="19">
                  <c:v>Keyboard Cleaner</c:v>
                </c:pt>
                <c:pt idx="20">
                  <c:v>Laptop</c:v>
                </c:pt>
                <c:pt idx="21">
                  <c:v>Laptop Cooling Pad</c:v>
                </c:pt>
                <c:pt idx="22">
                  <c:v>Laptop Sleeve</c:v>
                </c:pt>
                <c:pt idx="23">
                  <c:v>Monitor</c:v>
                </c:pt>
                <c:pt idx="24">
                  <c:v>Monitor Stand</c:v>
                </c:pt>
                <c:pt idx="25">
                  <c:v>Motherboard</c:v>
                </c:pt>
                <c:pt idx="26">
                  <c:v>Mouse Pad</c:v>
                </c:pt>
                <c:pt idx="27">
                  <c:v>PC Case</c:v>
                </c:pt>
                <c:pt idx="28">
                  <c:v>Power Strip</c:v>
                </c:pt>
                <c:pt idx="29">
                  <c:v>Power Supply</c:v>
                </c:pt>
                <c:pt idx="30">
                  <c:v>Printer Cable</c:v>
                </c:pt>
                <c:pt idx="31">
                  <c:v>RAM</c:v>
                </c:pt>
                <c:pt idx="32">
                  <c:v>Router</c:v>
                </c:pt>
                <c:pt idx="33">
                  <c:v>Smartphone</c:v>
                </c:pt>
                <c:pt idx="34">
                  <c:v>SSD</c:v>
                </c:pt>
                <c:pt idx="35">
                  <c:v>Tablet</c:v>
                </c:pt>
                <c:pt idx="36">
                  <c:v>Thermal Paste</c:v>
                </c:pt>
                <c:pt idx="37">
                  <c:v>USB Flash Drive</c:v>
                </c:pt>
                <c:pt idx="38">
                  <c:v>USB Hub</c:v>
                </c:pt>
                <c:pt idx="39">
                  <c:v>USB-C Adapter</c:v>
                </c:pt>
                <c:pt idx="40">
                  <c:v>USB-C Cable</c:v>
                </c:pt>
                <c:pt idx="41">
                  <c:v>Webcam</c:v>
                </c:pt>
                <c:pt idx="42">
                  <c:v>WiFi Adapter</c:v>
                </c:pt>
                <c:pt idx="43">
                  <c:v>Wireless Charger</c:v>
                </c:pt>
                <c:pt idx="44">
                  <c:v>Wireless Earbuds</c:v>
                </c:pt>
                <c:pt idx="45">
                  <c:v>Wireless Mouse</c:v>
                </c:pt>
              </c:strCache>
            </c:strRef>
          </c:cat>
          <c:val>
            <c:numRef>
              <c:f>'sum of purchase'!$B$4:$B$50</c:f>
              <c:numCache>
                <c:formatCode>General</c:formatCode>
                <c:ptCount val="46"/>
                <c:pt idx="0">
                  <c:v>8</c:v>
                </c:pt>
                <c:pt idx="1">
                  <c:v>12</c:v>
                </c:pt>
                <c:pt idx="2">
                  <c:v>15</c:v>
                </c:pt>
                <c:pt idx="3">
                  <c:v>12</c:v>
                </c:pt>
                <c:pt idx="4">
                  <c:v>8</c:v>
                </c:pt>
                <c:pt idx="5">
                  <c:v>15</c:v>
                </c:pt>
                <c:pt idx="6">
                  <c:v>30</c:v>
                </c:pt>
                <c:pt idx="7">
                  <c:v>6</c:v>
                </c:pt>
                <c:pt idx="8">
                  <c:v>12</c:v>
                </c:pt>
                <c:pt idx="9">
                  <c:v>6</c:v>
                </c:pt>
                <c:pt idx="10">
                  <c:v>10</c:v>
                </c:pt>
                <c:pt idx="11">
                  <c:v>8</c:v>
                </c:pt>
                <c:pt idx="12">
                  <c:v>10</c:v>
                </c:pt>
                <c:pt idx="13">
                  <c:v>10</c:v>
                </c:pt>
                <c:pt idx="14">
                  <c:v>12</c:v>
                </c:pt>
                <c:pt idx="15">
                  <c:v>18</c:v>
                </c:pt>
                <c:pt idx="16">
                  <c:v>25</c:v>
                </c:pt>
                <c:pt idx="17">
                  <c:v>10</c:v>
                </c:pt>
                <c:pt idx="18">
                  <c:v>25</c:v>
                </c:pt>
                <c:pt idx="19">
                  <c:v>18</c:v>
                </c:pt>
                <c:pt idx="20">
                  <c:v>20</c:v>
                </c:pt>
                <c:pt idx="21">
                  <c:v>15</c:v>
                </c:pt>
                <c:pt idx="22">
                  <c:v>12</c:v>
                </c:pt>
                <c:pt idx="23">
                  <c:v>15</c:v>
                </c:pt>
                <c:pt idx="24">
                  <c:v>10</c:v>
                </c:pt>
                <c:pt idx="25">
                  <c:v>12</c:v>
                </c:pt>
                <c:pt idx="26">
                  <c:v>20</c:v>
                </c:pt>
                <c:pt idx="27">
                  <c:v>18</c:v>
                </c:pt>
                <c:pt idx="28">
                  <c:v>20</c:v>
                </c:pt>
                <c:pt idx="29">
                  <c:v>15</c:v>
                </c:pt>
                <c:pt idx="30">
                  <c:v>10</c:v>
                </c:pt>
                <c:pt idx="31">
                  <c:v>22</c:v>
                </c:pt>
                <c:pt idx="32">
                  <c:v>22</c:v>
                </c:pt>
                <c:pt idx="33">
                  <c:v>30</c:v>
                </c:pt>
                <c:pt idx="34">
                  <c:v>20</c:v>
                </c:pt>
                <c:pt idx="35">
                  <c:v>18</c:v>
                </c:pt>
                <c:pt idx="36">
                  <c:v>15</c:v>
                </c:pt>
                <c:pt idx="37">
                  <c:v>25</c:v>
                </c:pt>
                <c:pt idx="38">
                  <c:v>12</c:v>
                </c:pt>
                <c:pt idx="39">
                  <c:v>10</c:v>
                </c:pt>
                <c:pt idx="40">
                  <c:v>20</c:v>
                </c:pt>
                <c:pt idx="41">
                  <c:v>20</c:v>
                </c:pt>
                <c:pt idx="42">
                  <c:v>8</c:v>
                </c:pt>
                <c:pt idx="43">
                  <c:v>18</c:v>
                </c:pt>
                <c:pt idx="44">
                  <c:v>15</c:v>
                </c:pt>
                <c:pt idx="4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F-4DB9-8F9A-BCF7AAE52125}"/>
            </c:ext>
          </c:extLst>
        </c:ser>
        <c:ser>
          <c:idx val="1"/>
          <c:order val="1"/>
          <c:tx>
            <c:strRef>
              <c:f>'sum of purchase'!$C$3</c:f>
              <c:strCache>
                <c:ptCount val="1"/>
                <c:pt idx="0">
                  <c:v>Sum of Number of 
Units Sold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FCD2-4ECF-BDAF-E6978A9427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FCD2-4ECF-BDAF-E6978A9427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FCD2-4ECF-BDAF-E6978A9427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FCD2-4ECF-BDAF-E6978A9427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FCD2-4ECF-BDAF-E6978A94273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FCD2-4ECF-BDAF-E6978A94273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FCD2-4ECF-BDAF-E6978A94273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FCD2-4ECF-BDAF-E6978A94273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FCD2-4ECF-BDAF-E6978A94273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FCD2-4ECF-BDAF-E6978A94273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FCD2-4ECF-BDAF-E6978A94273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FCD2-4ECF-BDAF-E6978A94273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FCD2-4ECF-BDAF-E6978A94273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FCD2-4ECF-BDAF-E6978A94273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FCD2-4ECF-BDAF-E6978A94273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FCD2-4ECF-BDAF-E6978A94273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FCD2-4ECF-BDAF-E6978A94273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FCD2-4ECF-BDAF-E6978A94273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FCD2-4ECF-BDAF-E6978A94273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FCD2-4ECF-BDAF-E6978A94273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FCD2-4ECF-BDAF-E6978A94273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FCD2-4ECF-BDAF-E6978A94273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FCD2-4ECF-BDAF-E6978A94273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FCD2-4ECF-BDAF-E6978A94273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FCD2-4ECF-BDAF-E6978A94273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FCD2-4ECF-BDAF-E6978A94273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FCD2-4ECF-BDAF-E6978A942736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FCD2-4ECF-BDAF-E6978A942736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FCD2-4ECF-BDAF-E6978A942736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FCD2-4ECF-BDAF-E6978A942736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FCD2-4ECF-BDAF-E6978A942736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FCD2-4ECF-BDAF-E6978A942736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FCD2-4ECF-BDAF-E6978A942736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FCD2-4ECF-BDAF-E6978A942736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FCD2-4ECF-BDAF-E6978A942736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FCD2-4ECF-BDAF-E6978A942736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FCD2-4ECF-BDAF-E6978A942736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FCD2-4ECF-BDAF-E6978A942736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FCD2-4ECF-BDAF-E6978A942736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FCD2-4ECF-BDAF-E6978A942736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FCD2-4ECF-BDAF-E6978A942736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FCD2-4ECF-BDAF-E6978A942736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FCD2-4ECF-BDAF-E6978A942736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FCD2-4ECF-BDAF-E6978A942736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FCD2-4ECF-BDAF-E6978A942736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FCD2-4ECF-BDAF-E6978A942736}"/>
              </c:ext>
            </c:extLst>
          </c:dPt>
          <c:cat>
            <c:strRef>
              <c:f>'sum of purchase'!$A$4:$A$50</c:f>
              <c:strCache>
                <c:ptCount val="46"/>
                <c:pt idx="0">
                  <c:v>Anti-Glare Screen Protector</c:v>
                </c:pt>
                <c:pt idx="1">
                  <c:v>Cable Management Kit</c:v>
                </c:pt>
                <c:pt idx="2">
                  <c:v>CPU</c:v>
                </c:pt>
                <c:pt idx="3">
                  <c:v>CPU Cooler</c:v>
                </c:pt>
                <c:pt idx="4">
                  <c:v>Desk Chair</c:v>
                </c:pt>
                <c:pt idx="5">
                  <c:v>Desk Lamp</c:v>
                </c:pt>
                <c:pt idx="6">
                  <c:v>Ethernet Cable</c:v>
                </c:pt>
                <c:pt idx="7">
                  <c:v>External DVD Drive</c:v>
                </c:pt>
                <c:pt idx="8">
                  <c:v>External Hard Drive</c:v>
                </c:pt>
                <c:pt idx="9">
                  <c:v>Gaming Chair</c:v>
                </c:pt>
                <c:pt idx="10">
                  <c:v>Gaming Desk</c:v>
                </c:pt>
                <c:pt idx="11">
                  <c:v>Gaming Headset</c:v>
                </c:pt>
                <c:pt idx="12">
                  <c:v>Gaming Keyboard</c:v>
                </c:pt>
                <c:pt idx="13">
                  <c:v>Gaming Monitor</c:v>
                </c:pt>
                <c:pt idx="14">
                  <c:v>Gaming Mouse</c:v>
                </c:pt>
                <c:pt idx="15">
                  <c:v>Graphics Card</c:v>
                </c:pt>
                <c:pt idx="16">
                  <c:v>HDD</c:v>
                </c:pt>
                <c:pt idx="17">
                  <c:v>Headphones</c:v>
                </c:pt>
                <c:pt idx="18">
                  <c:v>Keyboard</c:v>
                </c:pt>
                <c:pt idx="19">
                  <c:v>Keyboard Cleaner</c:v>
                </c:pt>
                <c:pt idx="20">
                  <c:v>Laptop</c:v>
                </c:pt>
                <c:pt idx="21">
                  <c:v>Laptop Cooling Pad</c:v>
                </c:pt>
                <c:pt idx="22">
                  <c:v>Laptop Sleeve</c:v>
                </c:pt>
                <c:pt idx="23">
                  <c:v>Monitor</c:v>
                </c:pt>
                <c:pt idx="24">
                  <c:v>Monitor Stand</c:v>
                </c:pt>
                <c:pt idx="25">
                  <c:v>Motherboard</c:v>
                </c:pt>
                <c:pt idx="26">
                  <c:v>Mouse Pad</c:v>
                </c:pt>
                <c:pt idx="27">
                  <c:v>PC Case</c:v>
                </c:pt>
                <c:pt idx="28">
                  <c:v>Power Strip</c:v>
                </c:pt>
                <c:pt idx="29">
                  <c:v>Power Supply</c:v>
                </c:pt>
                <c:pt idx="30">
                  <c:v>Printer Cable</c:v>
                </c:pt>
                <c:pt idx="31">
                  <c:v>RAM</c:v>
                </c:pt>
                <c:pt idx="32">
                  <c:v>Router</c:v>
                </c:pt>
                <c:pt idx="33">
                  <c:v>Smartphone</c:v>
                </c:pt>
                <c:pt idx="34">
                  <c:v>SSD</c:v>
                </c:pt>
                <c:pt idx="35">
                  <c:v>Tablet</c:v>
                </c:pt>
                <c:pt idx="36">
                  <c:v>Thermal Paste</c:v>
                </c:pt>
                <c:pt idx="37">
                  <c:v>USB Flash Drive</c:v>
                </c:pt>
                <c:pt idx="38">
                  <c:v>USB Hub</c:v>
                </c:pt>
                <c:pt idx="39">
                  <c:v>USB-C Adapter</c:v>
                </c:pt>
                <c:pt idx="40">
                  <c:v>USB-C Cable</c:v>
                </c:pt>
                <c:pt idx="41">
                  <c:v>Webcam</c:v>
                </c:pt>
                <c:pt idx="42">
                  <c:v>WiFi Adapter</c:v>
                </c:pt>
                <c:pt idx="43">
                  <c:v>Wireless Charger</c:v>
                </c:pt>
                <c:pt idx="44">
                  <c:v>Wireless Earbuds</c:v>
                </c:pt>
                <c:pt idx="45">
                  <c:v>Wireless Mouse</c:v>
                </c:pt>
              </c:strCache>
            </c:strRef>
          </c:cat>
          <c:val>
            <c:numRef>
              <c:f>'sum of purchase'!$C$4:$C$50</c:f>
              <c:numCache>
                <c:formatCode>General</c:formatCode>
                <c:ptCount val="46"/>
                <c:pt idx="0">
                  <c:v>3</c:v>
                </c:pt>
                <c:pt idx="1">
                  <c:v>4</c:v>
                </c:pt>
                <c:pt idx="2">
                  <c:v>7</c:v>
                </c:pt>
                <c:pt idx="3">
                  <c:v>4</c:v>
                </c:pt>
                <c:pt idx="4">
                  <c:v>3</c:v>
                </c:pt>
                <c:pt idx="5">
                  <c:v>7</c:v>
                </c:pt>
                <c:pt idx="6">
                  <c:v>15</c:v>
                </c:pt>
                <c:pt idx="7">
                  <c:v>2</c:v>
                </c:pt>
                <c:pt idx="8">
                  <c:v>5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12</c:v>
                </c:pt>
                <c:pt idx="17">
                  <c:v>3</c:v>
                </c:pt>
                <c:pt idx="18">
                  <c:v>15</c:v>
                </c:pt>
                <c:pt idx="19">
                  <c:v>9</c:v>
                </c:pt>
                <c:pt idx="20">
                  <c:v>10</c:v>
                </c:pt>
                <c:pt idx="21">
                  <c:v>6</c:v>
                </c:pt>
                <c:pt idx="22">
                  <c:v>5</c:v>
                </c:pt>
                <c:pt idx="23">
                  <c:v>5</c:v>
                </c:pt>
                <c:pt idx="24">
                  <c:v>3</c:v>
                </c:pt>
                <c:pt idx="25">
                  <c:v>5</c:v>
                </c:pt>
                <c:pt idx="26">
                  <c:v>8</c:v>
                </c:pt>
                <c:pt idx="27">
                  <c:v>9</c:v>
                </c:pt>
                <c:pt idx="28">
                  <c:v>8</c:v>
                </c:pt>
                <c:pt idx="29">
                  <c:v>6</c:v>
                </c:pt>
                <c:pt idx="30">
                  <c:v>4</c:v>
                </c:pt>
                <c:pt idx="31">
                  <c:v>11</c:v>
                </c:pt>
                <c:pt idx="32">
                  <c:v>12</c:v>
                </c:pt>
                <c:pt idx="33">
                  <c:v>20</c:v>
                </c:pt>
                <c:pt idx="34">
                  <c:v>8</c:v>
                </c:pt>
                <c:pt idx="35">
                  <c:v>8</c:v>
                </c:pt>
                <c:pt idx="36">
                  <c:v>5</c:v>
                </c:pt>
                <c:pt idx="37">
                  <c:v>12</c:v>
                </c:pt>
                <c:pt idx="38">
                  <c:v>4</c:v>
                </c:pt>
                <c:pt idx="39">
                  <c:v>4</c:v>
                </c:pt>
                <c:pt idx="40">
                  <c:v>9</c:v>
                </c:pt>
                <c:pt idx="41">
                  <c:v>10</c:v>
                </c:pt>
                <c:pt idx="42">
                  <c:v>3</c:v>
                </c:pt>
                <c:pt idx="43">
                  <c:v>7</c:v>
                </c:pt>
                <c:pt idx="44">
                  <c:v>7</c:v>
                </c:pt>
                <c:pt idx="4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0F-4DB9-8F9A-BCF7AAE52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[Inventory-Records-Sample-Data.xlsx]stock level 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'stock level '!$B$3</c:f>
              <c:strCache>
                <c:ptCount val="1"/>
                <c:pt idx="0">
                  <c:v>Sum of Cost Price 
Per Unit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'stock level '!$A$4:$A$50</c:f>
              <c:strCache>
                <c:ptCount val="46"/>
                <c:pt idx="0">
                  <c:v>Anti-Glare Screen Protector</c:v>
                </c:pt>
                <c:pt idx="1">
                  <c:v>Cable Management Kit</c:v>
                </c:pt>
                <c:pt idx="2">
                  <c:v>CPU</c:v>
                </c:pt>
                <c:pt idx="3">
                  <c:v>CPU Cooler</c:v>
                </c:pt>
                <c:pt idx="4">
                  <c:v>Desk Chair</c:v>
                </c:pt>
                <c:pt idx="5">
                  <c:v>Desk Lamp</c:v>
                </c:pt>
                <c:pt idx="6">
                  <c:v>Ethernet Cable</c:v>
                </c:pt>
                <c:pt idx="7">
                  <c:v>External DVD Drive</c:v>
                </c:pt>
                <c:pt idx="8">
                  <c:v>External Hard Drive</c:v>
                </c:pt>
                <c:pt idx="9">
                  <c:v>Gaming Chair</c:v>
                </c:pt>
                <c:pt idx="10">
                  <c:v>Gaming Desk</c:v>
                </c:pt>
                <c:pt idx="11">
                  <c:v>Gaming Headset</c:v>
                </c:pt>
                <c:pt idx="12">
                  <c:v>Gaming Keyboard</c:v>
                </c:pt>
                <c:pt idx="13">
                  <c:v>Gaming Monitor</c:v>
                </c:pt>
                <c:pt idx="14">
                  <c:v>Gaming Mouse</c:v>
                </c:pt>
                <c:pt idx="15">
                  <c:v>Graphics Card</c:v>
                </c:pt>
                <c:pt idx="16">
                  <c:v>HDD</c:v>
                </c:pt>
                <c:pt idx="17">
                  <c:v>Headphones</c:v>
                </c:pt>
                <c:pt idx="18">
                  <c:v>Keyboard</c:v>
                </c:pt>
                <c:pt idx="19">
                  <c:v>Keyboard Cleaner</c:v>
                </c:pt>
                <c:pt idx="20">
                  <c:v>Laptop</c:v>
                </c:pt>
                <c:pt idx="21">
                  <c:v>Laptop Cooling Pad</c:v>
                </c:pt>
                <c:pt idx="22">
                  <c:v>Laptop Sleeve</c:v>
                </c:pt>
                <c:pt idx="23">
                  <c:v>Monitor</c:v>
                </c:pt>
                <c:pt idx="24">
                  <c:v>Monitor Stand</c:v>
                </c:pt>
                <c:pt idx="25">
                  <c:v>Motherboard</c:v>
                </c:pt>
                <c:pt idx="26">
                  <c:v>Mouse Pad</c:v>
                </c:pt>
                <c:pt idx="27">
                  <c:v>PC Case</c:v>
                </c:pt>
                <c:pt idx="28">
                  <c:v>Power Strip</c:v>
                </c:pt>
                <c:pt idx="29">
                  <c:v>Power Supply</c:v>
                </c:pt>
                <c:pt idx="30">
                  <c:v>Printer Cable</c:v>
                </c:pt>
                <c:pt idx="31">
                  <c:v>RAM</c:v>
                </c:pt>
                <c:pt idx="32">
                  <c:v>Router</c:v>
                </c:pt>
                <c:pt idx="33">
                  <c:v>Smartphone</c:v>
                </c:pt>
                <c:pt idx="34">
                  <c:v>SSD</c:v>
                </c:pt>
                <c:pt idx="35">
                  <c:v>Tablet</c:v>
                </c:pt>
                <c:pt idx="36">
                  <c:v>Thermal Paste</c:v>
                </c:pt>
                <c:pt idx="37">
                  <c:v>USB Flash Drive</c:v>
                </c:pt>
                <c:pt idx="38">
                  <c:v>USB Hub</c:v>
                </c:pt>
                <c:pt idx="39">
                  <c:v>USB-C Adapter</c:v>
                </c:pt>
                <c:pt idx="40">
                  <c:v>USB-C Cable</c:v>
                </c:pt>
                <c:pt idx="41">
                  <c:v>Webcam</c:v>
                </c:pt>
                <c:pt idx="42">
                  <c:v>WiFi Adapter</c:v>
                </c:pt>
                <c:pt idx="43">
                  <c:v>Wireless Charger</c:v>
                </c:pt>
                <c:pt idx="44">
                  <c:v>Wireless Earbuds</c:v>
                </c:pt>
                <c:pt idx="45">
                  <c:v>Wireless Mouse</c:v>
                </c:pt>
              </c:strCache>
            </c:strRef>
          </c:cat>
          <c:val>
            <c:numRef>
              <c:f>'stock level '!$B$4:$B$50</c:f>
              <c:numCache>
                <c:formatCode>[$$-409]#,##0.00</c:formatCode>
                <c:ptCount val="46"/>
                <c:pt idx="0">
                  <c:v>10</c:v>
                </c:pt>
                <c:pt idx="1">
                  <c:v>15</c:v>
                </c:pt>
                <c:pt idx="2">
                  <c:v>350</c:v>
                </c:pt>
                <c:pt idx="3">
                  <c:v>50</c:v>
                </c:pt>
                <c:pt idx="4">
                  <c:v>150</c:v>
                </c:pt>
                <c:pt idx="5">
                  <c:v>30</c:v>
                </c:pt>
                <c:pt idx="6">
                  <c:v>10</c:v>
                </c:pt>
                <c:pt idx="7">
                  <c:v>50</c:v>
                </c:pt>
                <c:pt idx="8">
                  <c:v>200</c:v>
                </c:pt>
                <c:pt idx="9">
                  <c:v>200</c:v>
                </c:pt>
                <c:pt idx="10">
                  <c:v>150</c:v>
                </c:pt>
                <c:pt idx="11">
                  <c:v>120</c:v>
                </c:pt>
                <c:pt idx="12">
                  <c:v>100</c:v>
                </c:pt>
                <c:pt idx="13">
                  <c:v>400</c:v>
                </c:pt>
                <c:pt idx="14">
                  <c:v>80</c:v>
                </c:pt>
                <c:pt idx="15">
                  <c:v>600</c:v>
                </c:pt>
                <c:pt idx="16">
                  <c:v>60</c:v>
                </c:pt>
                <c:pt idx="17">
                  <c:v>100</c:v>
                </c:pt>
                <c:pt idx="18">
                  <c:v>50</c:v>
                </c:pt>
                <c:pt idx="19">
                  <c:v>8</c:v>
                </c:pt>
                <c:pt idx="20">
                  <c:v>1200</c:v>
                </c:pt>
                <c:pt idx="21">
                  <c:v>20</c:v>
                </c:pt>
                <c:pt idx="22">
                  <c:v>20</c:v>
                </c:pt>
                <c:pt idx="23">
                  <c:v>500</c:v>
                </c:pt>
                <c:pt idx="24">
                  <c:v>30</c:v>
                </c:pt>
                <c:pt idx="25">
                  <c:v>200</c:v>
                </c:pt>
                <c:pt idx="26">
                  <c:v>10</c:v>
                </c:pt>
                <c:pt idx="27">
                  <c:v>80</c:v>
                </c:pt>
                <c:pt idx="28">
                  <c:v>25</c:v>
                </c:pt>
                <c:pt idx="29">
                  <c:v>100</c:v>
                </c:pt>
                <c:pt idx="30">
                  <c:v>5</c:v>
                </c:pt>
                <c:pt idx="31">
                  <c:v>80</c:v>
                </c:pt>
                <c:pt idx="32">
                  <c:v>150</c:v>
                </c:pt>
                <c:pt idx="33">
                  <c:v>900</c:v>
                </c:pt>
                <c:pt idx="34">
                  <c:v>120</c:v>
                </c:pt>
                <c:pt idx="35">
                  <c:v>700</c:v>
                </c:pt>
                <c:pt idx="36">
                  <c:v>5</c:v>
                </c:pt>
                <c:pt idx="37">
                  <c:v>20</c:v>
                </c:pt>
                <c:pt idx="38">
                  <c:v>15</c:v>
                </c:pt>
                <c:pt idx="39">
                  <c:v>15</c:v>
                </c:pt>
                <c:pt idx="40">
                  <c:v>8</c:v>
                </c:pt>
                <c:pt idx="41">
                  <c:v>60</c:v>
                </c:pt>
                <c:pt idx="42">
                  <c:v>20</c:v>
                </c:pt>
                <c:pt idx="43">
                  <c:v>30</c:v>
                </c:pt>
                <c:pt idx="44">
                  <c:v>80</c:v>
                </c:pt>
                <c:pt idx="4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5D-4E25-9AD4-BBB8ED6B1BCC}"/>
            </c:ext>
          </c:extLst>
        </c:ser>
        <c:ser>
          <c:idx val="1"/>
          <c:order val="1"/>
          <c:tx>
            <c:strRef>
              <c:f>'stock level '!$C$3</c:f>
              <c:strCache>
                <c:ptCount val="1"/>
                <c:pt idx="0">
                  <c:v>Sum of TOTAL STOCK VALUE (USD)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'stock level '!$A$4:$A$50</c:f>
              <c:strCache>
                <c:ptCount val="46"/>
                <c:pt idx="0">
                  <c:v>Anti-Glare Screen Protector</c:v>
                </c:pt>
                <c:pt idx="1">
                  <c:v>Cable Management Kit</c:v>
                </c:pt>
                <c:pt idx="2">
                  <c:v>CPU</c:v>
                </c:pt>
                <c:pt idx="3">
                  <c:v>CPU Cooler</c:v>
                </c:pt>
                <c:pt idx="4">
                  <c:v>Desk Chair</c:v>
                </c:pt>
                <c:pt idx="5">
                  <c:v>Desk Lamp</c:v>
                </c:pt>
                <c:pt idx="6">
                  <c:v>Ethernet Cable</c:v>
                </c:pt>
                <c:pt idx="7">
                  <c:v>External DVD Drive</c:v>
                </c:pt>
                <c:pt idx="8">
                  <c:v>External Hard Drive</c:v>
                </c:pt>
                <c:pt idx="9">
                  <c:v>Gaming Chair</c:v>
                </c:pt>
                <c:pt idx="10">
                  <c:v>Gaming Desk</c:v>
                </c:pt>
                <c:pt idx="11">
                  <c:v>Gaming Headset</c:v>
                </c:pt>
                <c:pt idx="12">
                  <c:v>Gaming Keyboard</c:v>
                </c:pt>
                <c:pt idx="13">
                  <c:v>Gaming Monitor</c:v>
                </c:pt>
                <c:pt idx="14">
                  <c:v>Gaming Mouse</c:v>
                </c:pt>
                <c:pt idx="15">
                  <c:v>Graphics Card</c:v>
                </c:pt>
                <c:pt idx="16">
                  <c:v>HDD</c:v>
                </c:pt>
                <c:pt idx="17">
                  <c:v>Headphones</c:v>
                </c:pt>
                <c:pt idx="18">
                  <c:v>Keyboard</c:v>
                </c:pt>
                <c:pt idx="19">
                  <c:v>Keyboard Cleaner</c:v>
                </c:pt>
                <c:pt idx="20">
                  <c:v>Laptop</c:v>
                </c:pt>
                <c:pt idx="21">
                  <c:v>Laptop Cooling Pad</c:v>
                </c:pt>
                <c:pt idx="22">
                  <c:v>Laptop Sleeve</c:v>
                </c:pt>
                <c:pt idx="23">
                  <c:v>Monitor</c:v>
                </c:pt>
                <c:pt idx="24">
                  <c:v>Monitor Stand</c:v>
                </c:pt>
                <c:pt idx="25">
                  <c:v>Motherboard</c:v>
                </c:pt>
                <c:pt idx="26">
                  <c:v>Mouse Pad</c:v>
                </c:pt>
                <c:pt idx="27">
                  <c:v>PC Case</c:v>
                </c:pt>
                <c:pt idx="28">
                  <c:v>Power Strip</c:v>
                </c:pt>
                <c:pt idx="29">
                  <c:v>Power Supply</c:v>
                </c:pt>
                <c:pt idx="30">
                  <c:v>Printer Cable</c:v>
                </c:pt>
                <c:pt idx="31">
                  <c:v>RAM</c:v>
                </c:pt>
                <c:pt idx="32">
                  <c:v>Router</c:v>
                </c:pt>
                <c:pt idx="33">
                  <c:v>Smartphone</c:v>
                </c:pt>
                <c:pt idx="34">
                  <c:v>SSD</c:v>
                </c:pt>
                <c:pt idx="35">
                  <c:v>Tablet</c:v>
                </c:pt>
                <c:pt idx="36">
                  <c:v>Thermal Paste</c:v>
                </c:pt>
                <c:pt idx="37">
                  <c:v>USB Flash Drive</c:v>
                </c:pt>
                <c:pt idx="38">
                  <c:v>USB Hub</c:v>
                </c:pt>
                <c:pt idx="39">
                  <c:v>USB-C Adapter</c:v>
                </c:pt>
                <c:pt idx="40">
                  <c:v>USB-C Cable</c:v>
                </c:pt>
                <c:pt idx="41">
                  <c:v>Webcam</c:v>
                </c:pt>
                <c:pt idx="42">
                  <c:v>WiFi Adapter</c:v>
                </c:pt>
                <c:pt idx="43">
                  <c:v>Wireless Charger</c:v>
                </c:pt>
                <c:pt idx="44">
                  <c:v>Wireless Earbuds</c:v>
                </c:pt>
                <c:pt idx="45">
                  <c:v>Wireless Mouse</c:v>
                </c:pt>
              </c:strCache>
            </c:strRef>
          </c:cat>
          <c:val>
            <c:numRef>
              <c:f>'stock level '!$C$4:$C$50</c:f>
              <c:numCache>
                <c:formatCode>General</c:formatCode>
                <c:ptCount val="46"/>
                <c:pt idx="0">
                  <c:v>3</c:v>
                </c:pt>
                <c:pt idx="1">
                  <c:v>9</c:v>
                </c:pt>
                <c:pt idx="2">
                  <c:v>39</c:v>
                </c:pt>
                <c:pt idx="3">
                  <c:v>20</c:v>
                </c:pt>
                <c:pt idx="4">
                  <c:v>28</c:v>
                </c:pt>
                <c:pt idx="5">
                  <c:v>16</c:v>
                </c:pt>
                <c:pt idx="6">
                  <c:v>12</c:v>
                </c:pt>
                <c:pt idx="7">
                  <c:v>15</c:v>
                </c:pt>
                <c:pt idx="8">
                  <c:v>35</c:v>
                </c:pt>
                <c:pt idx="9">
                  <c:v>29</c:v>
                </c:pt>
                <c:pt idx="10">
                  <c:v>31</c:v>
                </c:pt>
                <c:pt idx="11">
                  <c:v>23</c:v>
                </c:pt>
                <c:pt idx="12">
                  <c:v>24</c:v>
                </c:pt>
                <c:pt idx="13">
                  <c:v>38</c:v>
                </c:pt>
                <c:pt idx="14">
                  <c:v>22</c:v>
                </c:pt>
                <c:pt idx="15">
                  <c:v>41</c:v>
                </c:pt>
                <c:pt idx="16">
                  <c:v>32</c:v>
                </c:pt>
                <c:pt idx="17">
                  <c:v>27</c:v>
                </c:pt>
                <c:pt idx="18">
                  <c:v>26</c:v>
                </c:pt>
                <c:pt idx="19">
                  <c:v>5</c:v>
                </c:pt>
                <c:pt idx="20">
                  <c:v>43</c:v>
                </c:pt>
                <c:pt idx="21">
                  <c:v>13</c:v>
                </c:pt>
                <c:pt idx="22">
                  <c:v>11</c:v>
                </c:pt>
                <c:pt idx="23">
                  <c:v>40</c:v>
                </c:pt>
                <c:pt idx="24">
                  <c:v>14</c:v>
                </c:pt>
                <c:pt idx="25">
                  <c:v>35</c:v>
                </c:pt>
                <c:pt idx="26">
                  <c:v>10</c:v>
                </c:pt>
                <c:pt idx="27">
                  <c:v>30</c:v>
                </c:pt>
                <c:pt idx="28">
                  <c:v>18</c:v>
                </c:pt>
                <c:pt idx="29">
                  <c:v>33</c:v>
                </c:pt>
                <c:pt idx="30">
                  <c:v>1</c:v>
                </c:pt>
                <c:pt idx="31">
                  <c:v>34</c:v>
                </c:pt>
                <c:pt idx="32">
                  <c:v>37</c:v>
                </c:pt>
                <c:pt idx="33">
                  <c:v>43</c:v>
                </c:pt>
                <c:pt idx="34">
                  <c:v>36</c:v>
                </c:pt>
                <c:pt idx="35">
                  <c:v>42</c:v>
                </c:pt>
                <c:pt idx="36">
                  <c:v>2</c:v>
                </c:pt>
                <c:pt idx="37">
                  <c:v>17</c:v>
                </c:pt>
                <c:pt idx="38">
                  <c:v>7</c:v>
                </c:pt>
                <c:pt idx="39">
                  <c:v>4</c:v>
                </c:pt>
                <c:pt idx="40">
                  <c:v>8</c:v>
                </c:pt>
                <c:pt idx="41">
                  <c:v>23</c:v>
                </c:pt>
                <c:pt idx="42">
                  <c:v>6</c:v>
                </c:pt>
                <c:pt idx="43">
                  <c:v>19</c:v>
                </c:pt>
                <c:pt idx="44">
                  <c:v>25</c:v>
                </c:pt>
                <c:pt idx="4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5D-4E25-9AD4-BBB8ED6B1BCC}"/>
            </c:ext>
          </c:extLst>
        </c:ser>
        <c:ser>
          <c:idx val="2"/>
          <c:order val="2"/>
          <c:tx>
            <c:strRef>
              <c:f>'stock level '!$D$3</c:f>
              <c:strCache>
                <c:ptCount val="1"/>
                <c:pt idx="0">
                  <c:v>Sum of Number of 
Units Sold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'stock level '!$A$4:$A$50</c:f>
              <c:strCache>
                <c:ptCount val="46"/>
                <c:pt idx="0">
                  <c:v>Anti-Glare Screen Protector</c:v>
                </c:pt>
                <c:pt idx="1">
                  <c:v>Cable Management Kit</c:v>
                </c:pt>
                <c:pt idx="2">
                  <c:v>CPU</c:v>
                </c:pt>
                <c:pt idx="3">
                  <c:v>CPU Cooler</c:v>
                </c:pt>
                <c:pt idx="4">
                  <c:v>Desk Chair</c:v>
                </c:pt>
                <c:pt idx="5">
                  <c:v>Desk Lamp</c:v>
                </c:pt>
                <c:pt idx="6">
                  <c:v>Ethernet Cable</c:v>
                </c:pt>
                <c:pt idx="7">
                  <c:v>External DVD Drive</c:v>
                </c:pt>
                <c:pt idx="8">
                  <c:v>External Hard Drive</c:v>
                </c:pt>
                <c:pt idx="9">
                  <c:v>Gaming Chair</c:v>
                </c:pt>
                <c:pt idx="10">
                  <c:v>Gaming Desk</c:v>
                </c:pt>
                <c:pt idx="11">
                  <c:v>Gaming Headset</c:v>
                </c:pt>
                <c:pt idx="12">
                  <c:v>Gaming Keyboard</c:v>
                </c:pt>
                <c:pt idx="13">
                  <c:v>Gaming Monitor</c:v>
                </c:pt>
                <c:pt idx="14">
                  <c:v>Gaming Mouse</c:v>
                </c:pt>
                <c:pt idx="15">
                  <c:v>Graphics Card</c:v>
                </c:pt>
                <c:pt idx="16">
                  <c:v>HDD</c:v>
                </c:pt>
                <c:pt idx="17">
                  <c:v>Headphones</c:v>
                </c:pt>
                <c:pt idx="18">
                  <c:v>Keyboard</c:v>
                </c:pt>
                <c:pt idx="19">
                  <c:v>Keyboard Cleaner</c:v>
                </c:pt>
                <c:pt idx="20">
                  <c:v>Laptop</c:v>
                </c:pt>
                <c:pt idx="21">
                  <c:v>Laptop Cooling Pad</c:v>
                </c:pt>
                <c:pt idx="22">
                  <c:v>Laptop Sleeve</c:v>
                </c:pt>
                <c:pt idx="23">
                  <c:v>Monitor</c:v>
                </c:pt>
                <c:pt idx="24">
                  <c:v>Monitor Stand</c:v>
                </c:pt>
                <c:pt idx="25">
                  <c:v>Motherboard</c:v>
                </c:pt>
                <c:pt idx="26">
                  <c:v>Mouse Pad</c:v>
                </c:pt>
                <c:pt idx="27">
                  <c:v>PC Case</c:v>
                </c:pt>
                <c:pt idx="28">
                  <c:v>Power Strip</c:v>
                </c:pt>
                <c:pt idx="29">
                  <c:v>Power Supply</c:v>
                </c:pt>
                <c:pt idx="30">
                  <c:v>Printer Cable</c:v>
                </c:pt>
                <c:pt idx="31">
                  <c:v>RAM</c:v>
                </c:pt>
                <c:pt idx="32">
                  <c:v>Router</c:v>
                </c:pt>
                <c:pt idx="33">
                  <c:v>Smartphone</c:v>
                </c:pt>
                <c:pt idx="34">
                  <c:v>SSD</c:v>
                </c:pt>
                <c:pt idx="35">
                  <c:v>Tablet</c:v>
                </c:pt>
                <c:pt idx="36">
                  <c:v>Thermal Paste</c:v>
                </c:pt>
                <c:pt idx="37">
                  <c:v>USB Flash Drive</c:v>
                </c:pt>
                <c:pt idx="38">
                  <c:v>USB Hub</c:v>
                </c:pt>
                <c:pt idx="39">
                  <c:v>USB-C Adapter</c:v>
                </c:pt>
                <c:pt idx="40">
                  <c:v>USB-C Cable</c:v>
                </c:pt>
                <c:pt idx="41">
                  <c:v>Webcam</c:v>
                </c:pt>
                <c:pt idx="42">
                  <c:v>WiFi Adapter</c:v>
                </c:pt>
                <c:pt idx="43">
                  <c:v>Wireless Charger</c:v>
                </c:pt>
                <c:pt idx="44">
                  <c:v>Wireless Earbuds</c:v>
                </c:pt>
                <c:pt idx="45">
                  <c:v>Wireless Mouse</c:v>
                </c:pt>
              </c:strCache>
            </c:strRef>
          </c:cat>
          <c:val>
            <c:numRef>
              <c:f>'stock level '!$D$4:$D$50</c:f>
              <c:numCache>
                <c:formatCode>General</c:formatCode>
                <c:ptCount val="46"/>
                <c:pt idx="0">
                  <c:v>3</c:v>
                </c:pt>
                <c:pt idx="1">
                  <c:v>4</c:v>
                </c:pt>
                <c:pt idx="2">
                  <c:v>7</c:v>
                </c:pt>
                <c:pt idx="3">
                  <c:v>4</c:v>
                </c:pt>
                <c:pt idx="4">
                  <c:v>3</c:v>
                </c:pt>
                <c:pt idx="5">
                  <c:v>7</c:v>
                </c:pt>
                <c:pt idx="6">
                  <c:v>15</c:v>
                </c:pt>
                <c:pt idx="7">
                  <c:v>2</c:v>
                </c:pt>
                <c:pt idx="8">
                  <c:v>5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12</c:v>
                </c:pt>
                <c:pt idx="17">
                  <c:v>3</c:v>
                </c:pt>
                <c:pt idx="18">
                  <c:v>15</c:v>
                </c:pt>
                <c:pt idx="19">
                  <c:v>9</c:v>
                </c:pt>
                <c:pt idx="20">
                  <c:v>10</c:v>
                </c:pt>
                <c:pt idx="21">
                  <c:v>6</c:v>
                </c:pt>
                <c:pt idx="22">
                  <c:v>5</c:v>
                </c:pt>
                <c:pt idx="23">
                  <c:v>5</c:v>
                </c:pt>
                <c:pt idx="24">
                  <c:v>3</c:v>
                </c:pt>
                <c:pt idx="25">
                  <c:v>5</c:v>
                </c:pt>
                <c:pt idx="26">
                  <c:v>8</c:v>
                </c:pt>
                <c:pt idx="27">
                  <c:v>9</c:v>
                </c:pt>
                <c:pt idx="28">
                  <c:v>8</c:v>
                </c:pt>
                <c:pt idx="29">
                  <c:v>6</c:v>
                </c:pt>
                <c:pt idx="30">
                  <c:v>4</c:v>
                </c:pt>
                <c:pt idx="31">
                  <c:v>11</c:v>
                </c:pt>
                <c:pt idx="32">
                  <c:v>12</c:v>
                </c:pt>
                <c:pt idx="33">
                  <c:v>20</c:v>
                </c:pt>
                <c:pt idx="34">
                  <c:v>8</c:v>
                </c:pt>
                <c:pt idx="35">
                  <c:v>8</c:v>
                </c:pt>
                <c:pt idx="36">
                  <c:v>5</c:v>
                </c:pt>
                <c:pt idx="37">
                  <c:v>12</c:v>
                </c:pt>
                <c:pt idx="38">
                  <c:v>4</c:v>
                </c:pt>
                <c:pt idx="39">
                  <c:v>4</c:v>
                </c:pt>
                <c:pt idx="40">
                  <c:v>9</c:v>
                </c:pt>
                <c:pt idx="41">
                  <c:v>10</c:v>
                </c:pt>
                <c:pt idx="42">
                  <c:v>3</c:v>
                </c:pt>
                <c:pt idx="43">
                  <c:v>7</c:v>
                </c:pt>
                <c:pt idx="44">
                  <c:v>7</c:v>
                </c:pt>
                <c:pt idx="4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5D-4E25-9AD4-BBB8ED6B1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135184"/>
        <c:axId val="1031133264"/>
      </c:areaChart>
      <c:catAx>
        <c:axId val="103113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133264"/>
        <c:crosses val="autoZero"/>
        <c:auto val="1"/>
        <c:lblAlgn val="ctr"/>
        <c:lblOffset val="100"/>
        <c:noMultiLvlLbl val="0"/>
      </c:catAx>
      <c:valAx>
        <c:axId val="103113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135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[Inventory-Records-Sample-Data.xlsx]Sum of number units sold 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 of number units sold 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 of number units sold '!$A$2:$A$48</c:f>
              <c:strCache>
                <c:ptCount val="46"/>
                <c:pt idx="0">
                  <c:v>Anti-Glare Screen Protector</c:v>
                </c:pt>
                <c:pt idx="1">
                  <c:v>Cable Management Kit</c:v>
                </c:pt>
                <c:pt idx="2">
                  <c:v>CPU</c:v>
                </c:pt>
                <c:pt idx="3">
                  <c:v>CPU Cooler</c:v>
                </c:pt>
                <c:pt idx="4">
                  <c:v>Desk Chair</c:v>
                </c:pt>
                <c:pt idx="5">
                  <c:v>Desk Lamp</c:v>
                </c:pt>
                <c:pt idx="6">
                  <c:v>Ethernet Cable</c:v>
                </c:pt>
                <c:pt idx="7">
                  <c:v>External DVD Drive</c:v>
                </c:pt>
                <c:pt idx="8">
                  <c:v>External Hard Drive</c:v>
                </c:pt>
                <c:pt idx="9">
                  <c:v>Gaming Chair</c:v>
                </c:pt>
                <c:pt idx="10">
                  <c:v>Gaming Desk</c:v>
                </c:pt>
                <c:pt idx="11">
                  <c:v>Gaming Headset</c:v>
                </c:pt>
                <c:pt idx="12">
                  <c:v>Gaming Keyboard</c:v>
                </c:pt>
                <c:pt idx="13">
                  <c:v>Gaming Monitor</c:v>
                </c:pt>
                <c:pt idx="14">
                  <c:v>Gaming Mouse</c:v>
                </c:pt>
                <c:pt idx="15">
                  <c:v>Graphics Card</c:v>
                </c:pt>
                <c:pt idx="16">
                  <c:v>HDD</c:v>
                </c:pt>
                <c:pt idx="17">
                  <c:v>Headphones</c:v>
                </c:pt>
                <c:pt idx="18">
                  <c:v>Keyboard</c:v>
                </c:pt>
                <c:pt idx="19">
                  <c:v>Keyboard Cleaner</c:v>
                </c:pt>
                <c:pt idx="20">
                  <c:v>Laptop</c:v>
                </c:pt>
                <c:pt idx="21">
                  <c:v>Laptop Cooling Pad</c:v>
                </c:pt>
                <c:pt idx="22">
                  <c:v>Laptop Sleeve</c:v>
                </c:pt>
                <c:pt idx="23">
                  <c:v>Monitor</c:v>
                </c:pt>
                <c:pt idx="24">
                  <c:v>Monitor Stand</c:v>
                </c:pt>
                <c:pt idx="25">
                  <c:v>Motherboard</c:v>
                </c:pt>
                <c:pt idx="26">
                  <c:v>Mouse Pad</c:v>
                </c:pt>
                <c:pt idx="27">
                  <c:v>PC Case</c:v>
                </c:pt>
                <c:pt idx="28">
                  <c:v>Power Strip</c:v>
                </c:pt>
                <c:pt idx="29">
                  <c:v>Power Supply</c:v>
                </c:pt>
                <c:pt idx="30">
                  <c:v>Printer Cable</c:v>
                </c:pt>
                <c:pt idx="31">
                  <c:v>RAM</c:v>
                </c:pt>
                <c:pt idx="32">
                  <c:v>Router</c:v>
                </c:pt>
                <c:pt idx="33">
                  <c:v>Smartphone</c:v>
                </c:pt>
                <c:pt idx="34">
                  <c:v>SSD</c:v>
                </c:pt>
                <c:pt idx="35">
                  <c:v>Tablet</c:v>
                </c:pt>
                <c:pt idx="36">
                  <c:v>Thermal Paste</c:v>
                </c:pt>
                <c:pt idx="37">
                  <c:v>USB Flash Drive</c:v>
                </c:pt>
                <c:pt idx="38">
                  <c:v>USB Hub</c:v>
                </c:pt>
                <c:pt idx="39">
                  <c:v>USB-C Adapter</c:v>
                </c:pt>
                <c:pt idx="40">
                  <c:v>USB-C Cable</c:v>
                </c:pt>
                <c:pt idx="41">
                  <c:v>Webcam</c:v>
                </c:pt>
                <c:pt idx="42">
                  <c:v>WiFi Adapter</c:v>
                </c:pt>
                <c:pt idx="43">
                  <c:v>Wireless Charger</c:v>
                </c:pt>
                <c:pt idx="44">
                  <c:v>Wireless Earbuds</c:v>
                </c:pt>
                <c:pt idx="45">
                  <c:v>Wireless Mouse</c:v>
                </c:pt>
              </c:strCache>
            </c:strRef>
          </c:cat>
          <c:val>
            <c:numRef>
              <c:f>'Sum of number units sold '!$B$2:$B$48</c:f>
              <c:numCache>
                <c:formatCode>General</c:formatCode>
                <c:ptCount val="46"/>
                <c:pt idx="0">
                  <c:v>3</c:v>
                </c:pt>
                <c:pt idx="1">
                  <c:v>4</c:v>
                </c:pt>
                <c:pt idx="2">
                  <c:v>7</c:v>
                </c:pt>
                <c:pt idx="3">
                  <c:v>4</c:v>
                </c:pt>
                <c:pt idx="4">
                  <c:v>3</c:v>
                </c:pt>
                <c:pt idx="5">
                  <c:v>7</c:v>
                </c:pt>
                <c:pt idx="6">
                  <c:v>15</c:v>
                </c:pt>
                <c:pt idx="7">
                  <c:v>2</c:v>
                </c:pt>
                <c:pt idx="8">
                  <c:v>5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6</c:v>
                </c:pt>
                <c:pt idx="15">
                  <c:v>9</c:v>
                </c:pt>
                <c:pt idx="16">
                  <c:v>12</c:v>
                </c:pt>
                <c:pt idx="17">
                  <c:v>3</c:v>
                </c:pt>
                <c:pt idx="18">
                  <c:v>15</c:v>
                </c:pt>
                <c:pt idx="19">
                  <c:v>9</c:v>
                </c:pt>
                <c:pt idx="20">
                  <c:v>10</c:v>
                </c:pt>
                <c:pt idx="21">
                  <c:v>6</c:v>
                </c:pt>
                <c:pt idx="22">
                  <c:v>5</c:v>
                </c:pt>
                <c:pt idx="23">
                  <c:v>5</c:v>
                </c:pt>
                <c:pt idx="24">
                  <c:v>3</c:v>
                </c:pt>
                <c:pt idx="25">
                  <c:v>5</c:v>
                </c:pt>
                <c:pt idx="26">
                  <c:v>8</c:v>
                </c:pt>
                <c:pt idx="27">
                  <c:v>9</c:v>
                </c:pt>
                <c:pt idx="28">
                  <c:v>8</c:v>
                </c:pt>
                <c:pt idx="29">
                  <c:v>6</c:v>
                </c:pt>
                <c:pt idx="30">
                  <c:v>4</c:v>
                </c:pt>
                <c:pt idx="31">
                  <c:v>11</c:v>
                </c:pt>
                <c:pt idx="32">
                  <c:v>12</c:v>
                </c:pt>
                <c:pt idx="33">
                  <c:v>20</c:v>
                </c:pt>
                <c:pt idx="34">
                  <c:v>8</c:v>
                </c:pt>
                <c:pt idx="35">
                  <c:v>8</c:v>
                </c:pt>
                <c:pt idx="36">
                  <c:v>5</c:v>
                </c:pt>
                <c:pt idx="37">
                  <c:v>12</c:v>
                </c:pt>
                <c:pt idx="38">
                  <c:v>4</c:v>
                </c:pt>
                <c:pt idx="39">
                  <c:v>4</c:v>
                </c:pt>
                <c:pt idx="40">
                  <c:v>9</c:v>
                </c:pt>
                <c:pt idx="41">
                  <c:v>10</c:v>
                </c:pt>
                <c:pt idx="42">
                  <c:v>3</c:v>
                </c:pt>
                <c:pt idx="43">
                  <c:v>7</c:v>
                </c:pt>
                <c:pt idx="44">
                  <c:v>7</c:v>
                </c:pt>
                <c:pt idx="4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3-4EA6-94AC-D3FE2547E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7226592"/>
        <c:axId val="587216032"/>
      </c:barChart>
      <c:catAx>
        <c:axId val="58722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16032"/>
        <c:crosses val="autoZero"/>
        <c:auto val="1"/>
        <c:lblAlgn val="ctr"/>
        <c:lblOffset val="100"/>
        <c:noMultiLvlLbl val="0"/>
      </c:catAx>
      <c:valAx>
        <c:axId val="58721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2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E2BB41-660D-21D9-4834-AB69688DF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3</xdr:row>
      <xdr:rowOff>11430</xdr:rowOff>
    </xdr:from>
    <xdr:to>
      <xdr:col>11</xdr:col>
      <xdr:colOff>76200</xdr:colOff>
      <xdr:row>18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5710CB-0E4D-5A28-95FB-630156579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259211</xdr:colOff>
      <xdr:row>5</xdr:row>
      <xdr:rowOff>68380</xdr:rowOff>
    </xdr:from>
    <xdr:to>
      <xdr:col>23</xdr:col>
      <xdr:colOff>334210</xdr:colOff>
      <xdr:row>46</xdr:row>
      <xdr:rowOff>173789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A18942-014E-92E2-706F-9B7BB3AA2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62CF55-9A84-9110-5862-C3DD9B00E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gnesh Ravichandran" refreshedDate="45886.364623032408" createdVersion="8" refreshedVersion="8" minRefreshableVersion="3" recordCount="46" xr:uid="{3F9AA8FE-9987-4374-A7D6-F9B41F2D4D1B}">
  <cacheSource type="worksheet">
    <worksheetSource ref="B6:I52" sheet="Inventory Records Data"/>
  </cacheSource>
  <cacheFields count="8">
    <cacheField name="Product_ID" numFmtId="0">
      <sharedItems/>
    </cacheField>
    <cacheField name="Product Name" numFmtId="0">
      <sharedItems count="46">
        <s v="Laptop"/>
        <s v="Monitor"/>
        <s v="Keyboard"/>
        <s v="Headphones"/>
        <s v="Smartphone"/>
        <s v="Tablet"/>
        <s v="Router"/>
        <s v="External Hard Drive"/>
        <s v="Wireless Earbuds"/>
        <s v="Webcam"/>
        <s v="Desk Chair"/>
        <s v="Desk Lamp"/>
        <s v="USB Flash Drive"/>
        <s v="Ethernet Cable"/>
        <s v="Power Strip"/>
        <s v="Wireless Mouse"/>
        <s v="Gaming Keyboard"/>
        <s v="Gaming Mouse"/>
        <s v="Gaming Headset"/>
        <s v="Gaming Chair"/>
        <s v="Gaming Monitor"/>
        <s v="Graphics Card"/>
        <s v="CPU"/>
        <s v="Motherboard"/>
        <s v="RAM"/>
        <s v="SSD"/>
        <s v="HDD"/>
        <s v="Power Supply"/>
        <s v="PC Case"/>
        <s v="CPU Cooler"/>
        <s v="Monitor Stand"/>
        <s v="Mouse Pad"/>
        <s v="Thermal Paste"/>
        <s v="Cable Management Kit"/>
        <s v="WiFi Adapter"/>
        <s v="External DVD Drive"/>
        <s v="Printer Cable"/>
        <s v="Keyboard Cleaner"/>
        <s v="Laptop Cooling Pad"/>
        <s v="USB Hub"/>
        <s v="Anti-Glare Screen Protector"/>
        <s v="USB-C Adapter"/>
        <s v="Laptop Sleeve"/>
        <s v="Wireless Charger"/>
        <s v="USB-C Cable"/>
        <s v="Gaming Desk"/>
      </sharedItems>
    </cacheField>
    <cacheField name="Opening _x000a_Stock" numFmtId="0">
      <sharedItems containsSemiMixedTypes="0" containsString="0" containsNumber="1" containsInteger="1" minValue="15" maxValue="70"/>
    </cacheField>
    <cacheField name="Purchase/_x000a_Stock in" numFmtId="0">
      <sharedItems containsSemiMixedTypes="0" containsString="0" containsNumber="1" containsInteger="1" minValue="6" maxValue="30"/>
    </cacheField>
    <cacheField name="Number of _x000a_Units Sold" numFmtId="0">
      <sharedItems containsSemiMixedTypes="0" containsString="0" containsNumber="1" containsInteger="1" minValue="2" maxValue="20"/>
    </cacheField>
    <cacheField name="Hand-In-_x000a_Stock" numFmtId="0">
      <sharedItems containsSemiMixedTypes="0" containsString="0" containsNumber="1" containsInteger="1" minValue="17" maxValue="80"/>
    </cacheField>
    <cacheField name="Cost Price _x000a_Per Unit (USD)" numFmtId="164">
      <sharedItems containsSemiMixedTypes="0" containsString="0" containsNumber="1" containsInteger="1" minValue="5" maxValue="1200"/>
    </cacheField>
    <cacheField name="Cost Price_x000a_Total (USD)" numFmtId="164">
      <sharedItems containsSemiMixedTypes="0" containsString="0" containsNumber="1" containsInteger="1" minValue="145" maxValue="7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gnesh Ravichandran" refreshedDate="45893.767640625003" createdVersion="8" refreshedVersion="8" minRefreshableVersion="3" recordCount="46" xr:uid="{E3721A81-14BD-47EF-A025-AA50D3E503F9}">
  <cacheSource type="worksheet">
    <worksheetSource ref="B6:L52" sheet="Inventory Records Data"/>
  </cacheSource>
  <cacheFields count="11">
    <cacheField name="Product_ID" numFmtId="0">
      <sharedItems count="46"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</sharedItems>
    </cacheField>
    <cacheField name="Product Name" numFmtId="0">
      <sharedItems count="46">
        <s v="Laptop"/>
        <s v="Monitor"/>
        <s v="Keyboard"/>
        <s v="Headphones"/>
        <s v="Smartphone"/>
        <s v="Tablet"/>
        <s v="Router"/>
        <s v="External Hard Drive"/>
        <s v="Wireless Earbuds"/>
        <s v="Webcam"/>
        <s v="Desk Chair"/>
        <s v="Desk Lamp"/>
        <s v="USB Flash Drive"/>
        <s v="Ethernet Cable"/>
        <s v="Power Strip"/>
        <s v="Wireless Mouse"/>
        <s v="Gaming Keyboard"/>
        <s v="Gaming Mouse"/>
        <s v="Gaming Headset"/>
        <s v="Gaming Chair"/>
        <s v="Gaming Monitor"/>
        <s v="Graphics Card"/>
        <s v="CPU"/>
        <s v="Motherboard"/>
        <s v="RAM"/>
        <s v="SSD"/>
        <s v="HDD"/>
        <s v="Power Supply"/>
        <s v="PC Case"/>
        <s v="CPU Cooler"/>
        <s v="Monitor Stand"/>
        <s v="Mouse Pad"/>
        <s v="Thermal Paste"/>
        <s v="Cable Management Kit"/>
        <s v="WiFi Adapter"/>
        <s v="External DVD Drive"/>
        <s v="Printer Cable"/>
        <s v="Keyboard Cleaner"/>
        <s v="Laptop Cooling Pad"/>
        <s v="USB Hub"/>
        <s v="Anti-Glare Screen Protector"/>
        <s v="USB-C Adapter"/>
        <s v="Laptop Sleeve"/>
        <s v="Wireless Charger"/>
        <s v="USB-C Cable"/>
        <s v="Gaming Desk"/>
      </sharedItems>
    </cacheField>
    <cacheField name="Opening _x000a_Stock" numFmtId="0">
      <sharedItems containsSemiMixedTypes="0" containsString="0" containsNumber="1" containsInteger="1" minValue="15" maxValue="70"/>
    </cacheField>
    <cacheField name="Purchase/_x000a_Stock in" numFmtId="0">
      <sharedItems containsSemiMixedTypes="0" containsString="0" containsNumber="1" containsInteger="1" minValue="6" maxValue="30"/>
    </cacheField>
    <cacheField name="Number of _x000a_Units Sold" numFmtId="0">
      <sharedItems containsSemiMixedTypes="0" containsString="0" containsNumber="1" containsInteger="1" minValue="2" maxValue="20" count="13">
        <n v="10"/>
        <n v="5"/>
        <n v="15"/>
        <n v="3"/>
        <n v="20"/>
        <n v="8"/>
        <n v="12"/>
        <n v="7"/>
        <n v="4"/>
        <n v="6"/>
        <n v="2"/>
        <n v="9"/>
        <n v="11"/>
      </sharedItems>
    </cacheField>
    <cacheField name="Hand-In-_x000a_Stock" numFmtId="0">
      <sharedItems containsSemiMixedTypes="0" containsString="0" containsNumber="1" containsInteger="1" minValue="17" maxValue="80"/>
    </cacheField>
    <cacheField name="Cost Price _x000a_Per Unit (USD)" numFmtId="164">
      <sharedItems containsSemiMixedTypes="0" containsString="0" containsNumber="1" containsInteger="1" minValue="5" maxValue="1200"/>
    </cacheField>
    <cacheField name="TOTAL STOCK VALUE (USD)" numFmtId="164">
      <sharedItems containsSemiMixedTypes="0" containsString="0" containsNumber="1" containsInteger="1" minValue="145" maxValue="72000"/>
    </cacheField>
    <cacheField name="STOCK TURNOVER RATIO" numFmtId="164">
      <sharedItems containsSemiMixedTypes="0" containsString="0" containsNumber="1" minValue="7.5" maxValue="20"/>
    </cacheField>
    <cacheField name="SELLING PRICE" numFmtId="0">
      <sharedItems containsNonDate="0" containsString="0" containsBlank="1"/>
    </cacheField>
    <cacheField name="PROFIT ESTIMATION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gnesh Ravichandran" refreshedDate="45894.285923842595" createdVersion="8" refreshedVersion="8" minRefreshableVersion="3" recordCount="46" xr:uid="{B7DF8585-64BC-45EE-92A7-9E4407053B0C}">
  <cacheSource type="worksheet">
    <worksheetSource ref="B6:J52" sheet="Inventory Records Data"/>
  </cacheSource>
  <cacheFields count="9">
    <cacheField name="Product_ID" numFmtId="0">
      <sharedItems count="46"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</sharedItems>
    </cacheField>
    <cacheField name="Product Name" numFmtId="0">
      <sharedItems count="46">
        <s v="Laptop"/>
        <s v="Monitor"/>
        <s v="Keyboard"/>
        <s v="Headphones"/>
        <s v="Smartphone"/>
        <s v="Tablet"/>
        <s v="Router"/>
        <s v="External Hard Drive"/>
        <s v="Wireless Earbuds"/>
        <s v="Webcam"/>
        <s v="Desk Chair"/>
        <s v="Desk Lamp"/>
        <s v="USB Flash Drive"/>
        <s v="Ethernet Cable"/>
        <s v="Power Strip"/>
        <s v="Wireless Mouse"/>
        <s v="Gaming Keyboard"/>
        <s v="Gaming Mouse"/>
        <s v="Gaming Headset"/>
        <s v="Gaming Chair"/>
        <s v="Gaming Monitor"/>
        <s v="Graphics Card"/>
        <s v="CPU"/>
        <s v="Motherboard"/>
        <s v="RAM"/>
        <s v="SSD"/>
        <s v="HDD"/>
        <s v="Power Supply"/>
        <s v="PC Case"/>
        <s v="CPU Cooler"/>
        <s v="Monitor Stand"/>
        <s v="Mouse Pad"/>
        <s v="Thermal Paste"/>
        <s v="Cable Management Kit"/>
        <s v="WiFi Adapter"/>
        <s v="External DVD Drive"/>
        <s v="Printer Cable"/>
        <s v="Keyboard Cleaner"/>
        <s v="Laptop Cooling Pad"/>
        <s v="USB Hub"/>
        <s v="Anti-Glare Screen Protector"/>
        <s v="USB-C Adapter"/>
        <s v="Laptop Sleeve"/>
        <s v="Wireless Charger"/>
        <s v="USB-C Cable"/>
        <s v="Gaming Desk"/>
      </sharedItems>
    </cacheField>
    <cacheField name="Opening _x000a_Stock" numFmtId="0">
      <sharedItems containsSemiMixedTypes="0" containsString="0" containsNumber="1" containsInteger="1" minValue="15" maxValue="70"/>
    </cacheField>
    <cacheField name="Purchase/_x000a_Stock in" numFmtId="0">
      <sharedItems containsSemiMixedTypes="0" containsString="0" containsNumber="1" containsInteger="1" minValue="6" maxValue="30"/>
    </cacheField>
    <cacheField name="Number of _x000a_Units Sold" numFmtId="0">
      <sharedItems containsSemiMixedTypes="0" containsString="0" containsNumber="1" containsInteger="1" minValue="2" maxValue="20" count="13">
        <n v="10"/>
        <n v="5"/>
        <n v="15"/>
        <n v="3"/>
        <n v="20"/>
        <n v="8"/>
        <n v="12"/>
        <n v="7"/>
        <n v="4"/>
        <n v="6"/>
        <n v="2"/>
        <n v="9"/>
        <n v="11"/>
      </sharedItems>
    </cacheField>
    <cacheField name="Hand-In-_x000a_Stock" numFmtId="0">
      <sharedItems containsSemiMixedTypes="0" containsString="0" containsNumber="1" containsInteger="1" minValue="17" maxValue="80"/>
    </cacheField>
    <cacheField name="Cost Price _x000a_Per Unit (USD)" numFmtId="164">
      <sharedItems containsSemiMixedTypes="0" containsString="0" containsNumber="1" containsInteger="1" minValue="5" maxValue="1200"/>
    </cacheField>
    <cacheField name="TOTAL STOCK VALUE (USD)" numFmtId="164">
      <sharedItems containsSemiMixedTypes="0" containsString="0" containsNumber="1" containsInteger="1" minValue="145" maxValue="72000"/>
    </cacheField>
    <cacheField name="STOCK TURNOVER RATIO" numFmtId="164">
      <sharedItems containsSemiMixedTypes="0" containsString="0" containsNumber="1" minValue="7.5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P101"/>
    <x v="0"/>
    <n v="50"/>
    <n v="20"/>
    <n v="10"/>
    <n v="60"/>
    <n v="1200"/>
    <n v="72000"/>
  </r>
  <r>
    <s v="P102"/>
    <x v="1"/>
    <n v="40"/>
    <n v="15"/>
    <n v="5"/>
    <n v="50"/>
    <n v="500"/>
    <n v="25000"/>
  </r>
  <r>
    <s v="P103"/>
    <x v="2"/>
    <n v="60"/>
    <n v="25"/>
    <n v="15"/>
    <n v="70"/>
    <n v="50"/>
    <n v="3500"/>
  </r>
  <r>
    <s v="P104"/>
    <x v="3"/>
    <n v="30"/>
    <n v="10"/>
    <n v="3"/>
    <n v="37"/>
    <n v="100"/>
    <n v="3700"/>
  </r>
  <r>
    <s v="P105"/>
    <x v="4"/>
    <n v="70"/>
    <n v="30"/>
    <n v="20"/>
    <n v="80"/>
    <n v="900"/>
    <n v="72000"/>
  </r>
  <r>
    <s v="P106"/>
    <x v="5"/>
    <n v="45"/>
    <n v="18"/>
    <n v="8"/>
    <n v="55"/>
    <n v="700"/>
    <n v="38500"/>
  </r>
  <r>
    <s v="P107"/>
    <x v="6"/>
    <n v="55"/>
    <n v="22"/>
    <n v="12"/>
    <n v="65"/>
    <n v="150"/>
    <n v="9750"/>
  </r>
  <r>
    <s v="P108"/>
    <x v="7"/>
    <n v="25"/>
    <n v="12"/>
    <n v="5"/>
    <n v="32"/>
    <n v="200"/>
    <n v="6400"/>
  </r>
  <r>
    <s v="P109"/>
    <x v="8"/>
    <n v="35"/>
    <n v="15"/>
    <n v="7"/>
    <n v="43"/>
    <n v="80"/>
    <n v="3440"/>
  </r>
  <r>
    <s v="P110"/>
    <x v="9"/>
    <n v="40"/>
    <n v="20"/>
    <n v="10"/>
    <n v="50"/>
    <n v="60"/>
    <n v="3000"/>
  </r>
  <r>
    <s v="P111"/>
    <x v="10"/>
    <n v="20"/>
    <n v="8"/>
    <n v="3"/>
    <n v="25"/>
    <n v="150"/>
    <n v="3750"/>
  </r>
  <r>
    <s v="P112"/>
    <x v="11"/>
    <n v="30"/>
    <n v="15"/>
    <n v="7"/>
    <n v="38"/>
    <n v="30"/>
    <n v="1140"/>
  </r>
  <r>
    <s v="P113"/>
    <x v="12"/>
    <n v="50"/>
    <n v="25"/>
    <n v="12"/>
    <n v="63"/>
    <n v="20"/>
    <n v="1260"/>
  </r>
  <r>
    <s v="P114"/>
    <x v="13"/>
    <n v="60"/>
    <n v="30"/>
    <n v="15"/>
    <n v="75"/>
    <n v="10"/>
    <n v="750"/>
  </r>
  <r>
    <s v="P115"/>
    <x v="14"/>
    <n v="40"/>
    <n v="20"/>
    <n v="8"/>
    <n v="52"/>
    <n v="25"/>
    <n v="1300"/>
  </r>
  <r>
    <s v="P116"/>
    <x v="15"/>
    <n v="35"/>
    <n v="15"/>
    <n v="5"/>
    <n v="45"/>
    <n v="40"/>
    <n v="1800"/>
  </r>
  <r>
    <s v="P117"/>
    <x v="16"/>
    <n v="25"/>
    <n v="10"/>
    <n v="4"/>
    <n v="31"/>
    <n v="100"/>
    <n v="3100"/>
  </r>
  <r>
    <s v="P118"/>
    <x v="17"/>
    <n v="30"/>
    <n v="12"/>
    <n v="6"/>
    <n v="36"/>
    <n v="80"/>
    <n v="2880"/>
  </r>
  <r>
    <s v="P119"/>
    <x v="18"/>
    <n v="20"/>
    <n v="8"/>
    <n v="3"/>
    <n v="25"/>
    <n v="120"/>
    <n v="3000"/>
  </r>
  <r>
    <s v="P120"/>
    <x v="19"/>
    <n v="15"/>
    <n v="6"/>
    <n v="2"/>
    <n v="19"/>
    <n v="200"/>
    <n v="3800"/>
  </r>
  <r>
    <s v="P121"/>
    <x v="20"/>
    <n v="25"/>
    <n v="10"/>
    <n v="4"/>
    <n v="29"/>
    <n v="400"/>
    <n v="11600"/>
  </r>
  <r>
    <s v="P122"/>
    <x v="21"/>
    <n v="40"/>
    <n v="18"/>
    <n v="9"/>
    <n v="49"/>
    <n v="600"/>
    <n v="29400"/>
  </r>
  <r>
    <s v="P123"/>
    <x v="22"/>
    <n v="30"/>
    <n v="15"/>
    <n v="7"/>
    <n v="38"/>
    <n v="350"/>
    <n v="13300"/>
  </r>
  <r>
    <s v="P124"/>
    <x v="23"/>
    <n v="25"/>
    <n v="12"/>
    <n v="5"/>
    <n v="32"/>
    <n v="200"/>
    <n v="6400"/>
  </r>
  <r>
    <s v="P125"/>
    <x v="24"/>
    <n v="50"/>
    <n v="22"/>
    <n v="11"/>
    <n v="61"/>
    <n v="80"/>
    <n v="4880"/>
  </r>
  <r>
    <s v="P126"/>
    <x v="25"/>
    <n v="45"/>
    <n v="20"/>
    <n v="8"/>
    <n v="57"/>
    <n v="120"/>
    <n v="6840"/>
  </r>
  <r>
    <s v="P127"/>
    <x v="26"/>
    <n v="60"/>
    <n v="25"/>
    <n v="12"/>
    <n v="73"/>
    <n v="60"/>
    <n v="4380"/>
  </r>
  <r>
    <s v="P128"/>
    <x v="27"/>
    <n v="35"/>
    <n v="15"/>
    <n v="6"/>
    <n v="44"/>
    <n v="100"/>
    <n v="4400"/>
  </r>
  <r>
    <s v="P129"/>
    <x v="28"/>
    <n v="40"/>
    <n v="18"/>
    <n v="9"/>
    <n v="49"/>
    <n v="80"/>
    <n v="3920"/>
  </r>
  <r>
    <s v="P130"/>
    <x v="29"/>
    <n v="30"/>
    <n v="12"/>
    <n v="4"/>
    <n v="34"/>
    <n v="50"/>
    <n v="1700"/>
  </r>
  <r>
    <s v="P131"/>
    <x v="30"/>
    <n v="25"/>
    <n v="10"/>
    <n v="3"/>
    <n v="28"/>
    <n v="30"/>
    <n v="840"/>
  </r>
  <r>
    <s v="P132"/>
    <x v="31"/>
    <n v="50"/>
    <n v="20"/>
    <n v="8"/>
    <n v="58"/>
    <n v="10"/>
    <n v="580"/>
  </r>
  <r>
    <s v="P133"/>
    <x v="32"/>
    <n v="40"/>
    <n v="15"/>
    <n v="5"/>
    <n v="50"/>
    <n v="5"/>
    <n v="250"/>
  </r>
  <r>
    <s v="P134"/>
    <x v="33"/>
    <n v="30"/>
    <n v="12"/>
    <n v="4"/>
    <n v="34"/>
    <n v="15"/>
    <n v="510"/>
  </r>
  <r>
    <s v="P135"/>
    <x v="34"/>
    <n v="20"/>
    <n v="8"/>
    <n v="3"/>
    <n v="23"/>
    <n v="20"/>
    <n v="460"/>
  </r>
  <r>
    <s v="P136"/>
    <x v="35"/>
    <n v="15"/>
    <n v="6"/>
    <n v="2"/>
    <n v="17"/>
    <n v="50"/>
    <n v="850"/>
  </r>
  <r>
    <s v="P137"/>
    <x v="36"/>
    <n v="25"/>
    <n v="10"/>
    <n v="4"/>
    <n v="29"/>
    <n v="5"/>
    <n v="145"/>
  </r>
  <r>
    <s v="P138"/>
    <x v="37"/>
    <n v="40"/>
    <n v="18"/>
    <n v="9"/>
    <n v="49"/>
    <n v="8"/>
    <n v="392"/>
  </r>
  <r>
    <s v="P139"/>
    <x v="38"/>
    <n v="30"/>
    <n v="15"/>
    <n v="6"/>
    <n v="39"/>
    <n v="20"/>
    <n v="780"/>
  </r>
  <r>
    <s v="P140"/>
    <x v="39"/>
    <n v="35"/>
    <n v="12"/>
    <n v="4"/>
    <n v="31"/>
    <n v="15"/>
    <n v="465"/>
  </r>
  <r>
    <s v="P141"/>
    <x v="40"/>
    <n v="25"/>
    <n v="8"/>
    <n v="3"/>
    <n v="28"/>
    <n v="10"/>
    <n v="280"/>
  </r>
  <r>
    <s v="P142"/>
    <x v="41"/>
    <n v="20"/>
    <n v="10"/>
    <n v="4"/>
    <n v="24"/>
    <n v="15"/>
    <n v="360"/>
  </r>
  <r>
    <s v="P143"/>
    <x v="42"/>
    <n v="30"/>
    <n v="12"/>
    <n v="5"/>
    <n v="37"/>
    <n v="20"/>
    <n v="740"/>
  </r>
  <r>
    <s v="P144"/>
    <x v="43"/>
    <n v="40"/>
    <n v="18"/>
    <n v="7"/>
    <n v="51"/>
    <n v="30"/>
    <n v="1530"/>
  </r>
  <r>
    <s v="P145"/>
    <x v="44"/>
    <n v="50"/>
    <n v="20"/>
    <n v="9"/>
    <n v="61"/>
    <n v="8"/>
    <n v="488"/>
  </r>
  <r>
    <s v="P146"/>
    <x v="45"/>
    <n v="25"/>
    <n v="10"/>
    <n v="3"/>
    <n v="28"/>
    <n v="150"/>
    <n v="42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n v="50"/>
    <n v="20"/>
    <x v="0"/>
    <n v="60"/>
    <n v="1200"/>
    <n v="72000"/>
    <n v="14.285714285714285"/>
    <m/>
    <m/>
  </r>
  <r>
    <x v="1"/>
    <x v="1"/>
    <n v="40"/>
    <n v="15"/>
    <x v="1"/>
    <n v="50"/>
    <n v="500"/>
    <n v="25000"/>
    <n v="9.0909090909090917"/>
    <m/>
    <m/>
  </r>
  <r>
    <x v="2"/>
    <x v="2"/>
    <n v="60"/>
    <n v="25"/>
    <x v="2"/>
    <n v="70"/>
    <n v="50"/>
    <n v="3500"/>
    <n v="17.647058823529413"/>
    <m/>
    <m/>
  </r>
  <r>
    <x v="3"/>
    <x v="3"/>
    <n v="30"/>
    <n v="10"/>
    <x v="3"/>
    <n v="37"/>
    <n v="100"/>
    <n v="3700"/>
    <n v="7.5"/>
    <m/>
    <m/>
  </r>
  <r>
    <x v="4"/>
    <x v="4"/>
    <n v="70"/>
    <n v="30"/>
    <x v="4"/>
    <n v="80"/>
    <n v="900"/>
    <n v="72000"/>
    <n v="20"/>
    <m/>
    <m/>
  </r>
  <r>
    <x v="5"/>
    <x v="5"/>
    <n v="45"/>
    <n v="18"/>
    <x v="5"/>
    <n v="55"/>
    <n v="700"/>
    <n v="38500"/>
    <n v="12.698412698412698"/>
    <m/>
    <m/>
  </r>
  <r>
    <x v="6"/>
    <x v="6"/>
    <n v="55"/>
    <n v="22"/>
    <x v="6"/>
    <n v="65"/>
    <n v="150"/>
    <n v="9750"/>
    <n v="15.584415584415584"/>
    <m/>
    <m/>
  </r>
  <r>
    <x v="7"/>
    <x v="7"/>
    <n v="25"/>
    <n v="12"/>
    <x v="1"/>
    <n v="32"/>
    <n v="200"/>
    <n v="6400"/>
    <n v="13.513513513513514"/>
    <m/>
    <m/>
  </r>
  <r>
    <x v="8"/>
    <x v="8"/>
    <n v="35"/>
    <n v="15"/>
    <x v="7"/>
    <n v="43"/>
    <n v="80"/>
    <n v="3440"/>
    <n v="14.000000000000002"/>
    <m/>
    <m/>
  </r>
  <r>
    <x v="9"/>
    <x v="9"/>
    <n v="40"/>
    <n v="20"/>
    <x v="0"/>
    <n v="50"/>
    <n v="60"/>
    <n v="3000"/>
    <n v="16.666666666666664"/>
    <m/>
    <m/>
  </r>
  <r>
    <x v="10"/>
    <x v="10"/>
    <n v="20"/>
    <n v="8"/>
    <x v="3"/>
    <n v="25"/>
    <n v="150"/>
    <n v="3750"/>
    <n v="10.714285714285714"/>
    <m/>
    <m/>
  </r>
  <r>
    <x v="11"/>
    <x v="11"/>
    <n v="30"/>
    <n v="15"/>
    <x v="7"/>
    <n v="38"/>
    <n v="30"/>
    <n v="1140"/>
    <n v="15.555555555555555"/>
    <m/>
    <m/>
  </r>
  <r>
    <x v="12"/>
    <x v="12"/>
    <n v="50"/>
    <n v="25"/>
    <x v="6"/>
    <n v="63"/>
    <n v="20"/>
    <n v="1260"/>
    <n v="16"/>
    <m/>
    <m/>
  </r>
  <r>
    <x v="13"/>
    <x v="13"/>
    <n v="60"/>
    <n v="30"/>
    <x v="2"/>
    <n v="75"/>
    <n v="10"/>
    <n v="750"/>
    <n v="16.666666666666664"/>
    <m/>
    <m/>
  </r>
  <r>
    <x v="14"/>
    <x v="14"/>
    <n v="40"/>
    <n v="20"/>
    <x v="5"/>
    <n v="52"/>
    <n v="25"/>
    <n v="1300"/>
    <n v="13.333333333333334"/>
    <m/>
    <m/>
  </r>
  <r>
    <x v="15"/>
    <x v="15"/>
    <n v="35"/>
    <n v="15"/>
    <x v="1"/>
    <n v="45"/>
    <n v="40"/>
    <n v="1800"/>
    <n v="10"/>
    <m/>
    <m/>
  </r>
  <r>
    <x v="16"/>
    <x v="16"/>
    <n v="25"/>
    <n v="10"/>
    <x v="8"/>
    <n v="31"/>
    <n v="100"/>
    <n v="3100"/>
    <n v="11.428571428571429"/>
    <m/>
    <m/>
  </r>
  <r>
    <x v="17"/>
    <x v="17"/>
    <n v="30"/>
    <n v="12"/>
    <x v="9"/>
    <n v="36"/>
    <n v="80"/>
    <n v="2880"/>
    <n v="14.285714285714285"/>
    <m/>
    <m/>
  </r>
  <r>
    <x v="18"/>
    <x v="18"/>
    <n v="20"/>
    <n v="8"/>
    <x v="3"/>
    <n v="25"/>
    <n v="120"/>
    <n v="3000"/>
    <n v="10.714285714285714"/>
    <m/>
    <m/>
  </r>
  <r>
    <x v="19"/>
    <x v="19"/>
    <n v="15"/>
    <n v="6"/>
    <x v="10"/>
    <n v="19"/>
    <n v="200"/>
    <n v="3800"/>
    <n v="9.5238095238095237"/>
    <m/>
    <m/>
  </r>
  <r>
    <x v="20"/>
    <x v="20"/>
    <n v="25"/>
    <n v="10"/>
    <x v="8"/>
    <n v="29"/>
    <n v="400"/>
    <n v="11600"/>
    <n v="11.428571428571429"/>
    <m/>
    <m/>
  </r>
  <r>
    <x v="21"/>
    <x v="21"/>
    <n v="40"/>
    <n v="18"/>
    <x v="11"/>
    <n v="49"/>
    <n v="600"/>
    <n v="29400"/>
    <n v="15.517241379310345"/>
    <m/>
    <m/>
  </r>
  <r>
    <x v="22"/>
    <x v="22"/>
    <n v="30"/>
    <n v="15"/>
    <x v="7"/>
    <n v="38"/>
    <n v="350"/>
    <n v="13300"/>
    <n v="15.555555555555555"/>
    <m/>
    <m/>
  </r>
  <r>
    <x v="23"/>
    <x v="23"/>
    <n v="25"/>
    <n v="12"/>
    <x v="1"/>
    <n v="32"/>
    <n v="200"/>
    <n v="6400"/>
    <n v="13.513513513513514"/>
    <m/>
    <m/>
  </r>
  <r>
    <x v="24"/>
    <x v="24"/>
    <n v="50"/>
    <n v="22"/>
    <x v="12"/>
    <n v="61"/>
    <n v="80"/>
    <n v="4880"/>
    <n v="15.277777777777779"/>
    <m/>
    <m/>
  </r>
  <r>
    <x v="25"/>
    <x v="25"/>
    <n v="45"/>
    <n v="20"/>
    <x v="5"/>
    <n v="57"/>
    <n v="120"/>
    <n v="6840"/>
    <n v="12.307692307692308"/>
    <m/>
    <m/>
  </r>
  <r>
    <x v="26"/>
    <x v="26"/>
    <n v="60"/>
    <n v="25"/>
    <x v="6"/>
    <n v="73"/>
    <n v="60"/>
    <n v="4380"/>
    <n v="14.117647058823529"/>
    <m/>
    <m/>
  </r>
  <r>
    <x v="27"/>
    <x v="27"/>
    <n v="35"/>
    <n v="15"/>
    <x v="9"/>
    <n v="44"/>
    <n v="100"/>
    <n v="4400"/>
    <n v="12"/>
    <m/>
    <m/>
  </r>
  <r>
    <x v="28"/>
    <x v="28"/>
    <n v="40"/>
    <n v="18"/>
    <x v="11"/>
    <n v="49"/>
    <n v="80"/>
    <n v="3920"/>
    <n v="15.517241379310345"/>
    <m/>
    <m/>
  </r>
  <r>
    <x v="29"/>
    <x v="29"/>
    <n v="30"/>
    <n v="12"/>
    <x v="8"/>
    <n v="34"/>
    <n v="50"/>
    <n v="1700"/>
    <n v="9.5238095238095237"/>
    <m/>
    <m/>
  </r>
  <r>
    <x v="30"/>
    <x v="30"/>
    <n v="25"/>
    <n v="10"/>
    <x v="3"/>
    <n v="28"/>
    <n v="30"/>
    <n v="840"/>
    <n v="8.5714285714285712"/>
    <m/>
    <m/>
  </r>
  <r>
    <x v="31"/>
    <x v="31"/>
    <n v="50"/>
    <n v="20"/>
    <x v="5"/>
    <n v="58"/>
    <n v="10"/>
    <n v="580"/>
    <n v="11.428571428571429"/>
    <m/>
    <m/>
  </r>
  <r>
    <x v="32"/>
    <x v="32"/>
    <n v="40"/>
    <n v="15"/>
    <x v="1"/>
    <n v="50"/>
    <n v="5"/>
    <n v="250"/>
    <n v="9.0909090909090917"/>
    <m/>
    <m/>
  </r>
  <r>
    <x v="33"/>
    <x v="33"/>
    <n v="30"/>
    <n v="12"/>
    <x v="8"/>
    <n v="34"/>
    <n v="15"/>
    <n v="510"/>
    <n v="9.5238095238095237"/>
    <m/>
    <m/>
  </r>
  <r>
    <x v="34"/>
    <x v="34"/>
    <n v="20"/>
    <n v="8"/>
    <x v="3"/>
    <n v="23"/>
    <n v="20"/>
    <n v="460"/>
    <n v="10.714285714285714"/>
    <m/>
    <m/>
  </r>
  <r>
    <x v="35"/>
    <x v="35"/>
    <n v="15"/>
    <n v="6"/>
    <x v="10"/>
    <n v="17"/>
    <n v="50"/>
    <n v="850"/>
    <n v="9.5238095238095237"/>
    <m/>
    <m/>
  </r>
  <r>
    <x v="36"/>
    <x v="36"/>
    <n v="25"/>
    <n v="10"/>
    <x v="8"/>
    <n v="29"/>
    <n v="5"/>
    <n v="145"/>
    <n v="11.428571428571429"/>
    <m/>
    <m/>
  </r>
  <r>
    <x v="37"/>
    <x v="37"/>
    <n v="40"/>
    <n v="18"/>
    <x v="11"/>
    <n v="49"/>
    <n v="8"/>
    <n v="392"/>
    <n v="15.517241379310345"/>
    <m/>
    <m/>
  </r>
  <r>
    <x v="38"/>
    <x v="38"/>
    <n v="30"/>
    <n v="15"/>
    <x v="9"/>
    <n v="39"/>
    <n v="20"/>
    <n v="780"/>
    <n v="13.333333333333334"/>
    <m/>
    <m/>
  </r>
  <r>
    <x v="39"/>
    <x v="39"/>
    <n v="35"/>
    <n v="12"/>
    <x v="8"/>
    <n v="31"/>
    <n v="15"/>
    <n v="465"/>
    <n v="8.5106382978723403"/>
    <m/>
    <m/>
  </r>
  <r>
    <x v="40"/>
    <x v="40"/>
    <n v="25"/>
    <n v="8"/>
    <x v="3"/>
    <n v="28"/>
    <n v="10"/>
    <n v="280"/>
    <n v="9.0909090909090917"/>
    <m/>
    <m/>
  </r>
  <r>
    <x v="41"/>
    <x v="41"/>
    <n v="20"/>
    <n v="10"/>
    <x v="8"/>
    <n v="24"/>
    <n v="15"/>
    <n v="360"/>
    <n v="13.333333333333334"/>
    <m/>
    <m/>
  </r>
  <r>
    <x v="42"/>
    <x v="42"/>
    <n v="30"/>
    <n v="12"/>
    <x v="1"/>
    <n v="37"/>
    <n v="20"/>
    <n v="740"/>
    <n v="11.904761904761903"/>
    <m/>
    <m/>
  </r>
  <r>
    <x v="43"/>
    <x v="43"/>
    <n v="40"/>
    <n v="18"/>
    <x v="7"/>
    <n v="51"/>
    <n v="30"/>
    <n v="1530"/>
    <n v="12.068965517241379"/>
    <m/>
    <m/>
  </r>
  <r>
    <x v="44"/>
    <x v="44"/>
    <n v="50"/>
    <n v="20"/>
    <x v="11"/>
    <n v="61"/>
    <n v="8"/>
    <n v="488"/>
    <n v="12.857142857142856"/>
    <m/>
    <m/>
  </r>
  <r>
    <x v="45"/>
    <x v="45"/>
    <n v="25"/>
    <n v="10"/>
    <x v="3"/>
    <n v="28"/>
    <n v="150"/>
    <n v="4200"/>
    <n v="8.5714285714285712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n v="50"/>
    <n v="20"/>
    <x v="0"/>
    <n v="60"/>
    <n v="1200"/>
    <n v="72000"/>
    <n v="14.285714285714285"/>
  </r>
  <r>
    <x v="1"/>
    <x v="1"/>
    <n v="40"/>
    <n v="15"/>
    <x v="1"/>
    <n v="50"/>
    <n v="500"/>
    <n v="25000"/>
    <n v="9.0909090909090917"/>
  </r>
  <r>
    <x v="2"/>
    <x v="2"/>
    <n v="60"/>
    <n v="25"/>
    <x v="2"/>
    <n v="70"/>
    <n v="50"/>
    <n v="3500"/>
    <n v="17.647058823529413"/>
  </r>
  <r>
    <x v="3"/>
    <x v="3"/>
    <n v="30"/>
    <n v="10"/>
    <x v="3"/>
    <n v="37"/>
    <n v="100"/>
    <n v="3700"/>
    <n v="7.5"/>
  </r>
  <r>
    <x v="4"/>
    <x v="4"/>
    <n v="70"/>
    <n v="30"/>
    <x v="4"/>
    <n v="80"/>
    <n v="900"/>
    <n v="72000"/>
    <n v="20"/>
  </r>
  <r>
    <x v="5"/>
    <x v="5"/>
    <n v="45"/>
    <n v="18"/>
    <x v="5"/>
    <n v="55"/>
    <n v="700"/>
    <n v="38500"/>
    <n v="12.698412698412698"/>
  </r>
  <r>
    <x v="6"/>
    <x v="6"/>
    <n v="55"/>
    <n v="22"/>
    <x v="6"/>
    <n v="65"/>
    <n v="150"/>
    <n v="9750"/>
    <n v="15.584415584415584"/>
  </r>
  <r>
    <x v="7"/>
    <x v="7"/>
    <n v="25"/>
    <n v="12"/>
    <x v="1"/>
    <n v="32"/>
    <n v="200"/>
    <n v="6400"/>
    <n v="13.513513513513514"/>
  </r>
  <r>
    <x v="8"/>
    <x v="8"/>
    <n v="35"/>
    <n v="15"/>
    <x v="7"/>
    <n v="43"/>
    <n v="80"/>
    <n v="3440"/>
    <n v="14.000000000000002"/>
  </r>
  <r>
    <x v="9"/>
    <x v="9"/>
    <n v="40"/>
    <n v="20"/>
    <x v="0"/>
    <n v="50"/>
    <n v="60"/>
    <n v="3000"/>
    <n v="16.666666666666664"/>
  </r>
  <r>
    <x v="10"/>
    <x v="10"/>
    <n v="20"/>
    <n v="8"/>
    <x v="3"/>
    <n v="25"/>
    <n v="150"/>
    <n v="3750"/>
    <n v="10.714285714285714"/>
  </r>
  <r>
    <x v="11"/>
    <x v="11"/>
    <n v="30"/>
    <n v="15"/>
    <x v="7"/>
    <n v="38"/>
    <n v="30"/>
    <n v="1140"/>
    <n v="15.555555555555555"/>
  </r>
  <r>
    <x v="12"/>
    <x v="12"/>
    <n v="50"/>
    <n v="25"/>
    <x v="6"/>
    <n v="63"/>
    <n v="20"/>
    <n v="1260"/>
    <n v="16"/>
  </r>
  <r>
    <x v="13"/>
    <x v="13"/>
    <n v="60"/>
    <n v="30"/>
    <x v="2"/>
    <n v="75"/>
    <n v="10"/>
    <n v="750"/>
    <n v="16.666666666666664"/>
  </r>
  <r>
    <x v="14"/>
    <x v="14"/>
    <n v="40"/>
    <n v="20"/>
    <x v="5"/>
    <n v="52"/>
    <n v="25"/>
    <n v="1300"/>
    <n v="13.333333333333334"/>
  </r>
  <r>
    <x v="15"/>
    <x v="15"/>
    <n v="35"/>
    <n v="15"/>
    <x v="1"/>
    <n v="45"/>
    <n v="40"/>
    <n v="1800"/>
    <n v="10"/>
  </r>
  <r>
    <x v="16"/>
    <x v="16"/>
    <n v="25"/>
    <n v="10"/>
    <x v="8"/>
    <n v="31"/>
    <n v="100"/>
    <n v="3100"/>
    <n v="11.428571428571429"/>
  </r>
  <r>
    <x v="17"/>
    <x v="17"/>
    <n v="30"/>
    <n v="12"/>
    <x v="9"/>
    <n v="36"/>
    <n v="80"/>
    <n v="2880"/>
    <n v="14.285714285714285"/>
  </r>
  <r>
    <x v="18"/>
    <x v="18"/>
    <n v="20"/>
    <n v="8"/>
    <x v="3"/>
    <n v="25"/>
    <n v="120"/>
    <n v="3000"/>
    <n v="10.714285714285714"/>
  </r>
  <r>
    <x v="19"/>
    <x v="19"/>
    <n v="15"/>
    <n v="6"/>
    <x v="10"/>
    <n v="19"/>
    <n v="200"/>
    <n v="3800"/>
    <n v="9.5238095238095237"/>
  </r>
  <r>
    <x v="20"/>
    <x v="20"/>
    <n v="25"/>
    <n v="10"/>
    <x v="8"/>
    <n v="29"/>
    <n v="400"/>
    <n v="11600"/>
    <n v="11.428571428571429"/>
  </r>
  <r>
    <x v="21"/>
    <x v="21"/>
    <n v="40"/>
    <n v="18"/>
    <x v="11"/>
    <n v="49"/>
    <n v="600"/>
    <n v="29400"/>
    <n v="15.517241379310345"/>
  </r>
  <r>
    <x v="22"/>
    <x v="22"/>
    <n v="30"/>
    <n v="15"/>
    <x v="7"/>
    <n v="38"/>
    <n v="350"/>
    <n v="13300"/>
    <n v="15.555555555555555"/>
  </r>
  <r>
    <x v="23"/>
    <x v="23"/>
    <n v="25"/>
    <n v="12"/>
    <x v="1"/>
    <n v="32"/>
    <n v="200"/>
    <n v="6400"/>
    <n v="13.513513513513514"/>
  </r>
  <r>
    <x v="24"/>
    <x v="24"/>
    <n v="50"/>
    <n v="22"/>
    <x v="12"/>
    <n v="61"/>
    <n v="80"/>
    <n v="4880"/>
    <n v="15.277777777777779"/>
  </r>
  <r>
    <x v="25"/>
    <x v="25"/>
    <n v="45"/>
    <n v="20"/>
    <x v="5"/>
    <n v="57"/>
    <n v="120"/>
    <n v="6840"/>
    <n v="12.307692307692308"/>
  </r>
  <r>
    <x v="26"/>
    <x v="26"/>
    <n v="60"/>
    <n v="25"/>
    <x v="6"/>
    <n v="73"/>
    <n v="60"/>
    <n v="4380"/>
    <n v="14.117647058823529"/>
  </r>
  <r>
    <x v="27"/>
    <x v="27"/>
    <n v="35"/>
    <n v="15"/>
    <x v="9"/>
    <n v="44"/>
    <n v="100"/>
    <n v="4400"/>
    <n v="12"/>
  </r>
  <r>
    <x v="28"/>
    <x v="28"/>
    <n v="40"/>
    <n v="18"/>
    <x v="11"/>
    <n v="49"/>
    <n v="80"/>
    <n v="3920"/>
    <n v="15.517241379310345"/>
  </r>
  <r>
    <x v="29"/>
    <x v="29"/>
    <n v="30"/>
    <n v="12"/>
    <x v="8"/>
    <n v="34"/>
    <n v="50"/>
    <n v="1700"/>
    <n v="9.5238095238095237"/>
  </r>
  <r>
    <x v="30"/>
    <x v="30"/>
    <n v="25"/>
    <n v="10"/>
    <x v="3"/>
    <n v="28"/>
    <n v="30"/>
    <n v="840"/>
    <n v="8.5714285714285712"/>
  </r>
  <r>
    <x v="31"/>
    <x v="31"/>
    <n v="50"/>
    <n v="20"/>
    <x v="5"/>
    <n v="58"/>
    <n v="10"/>
    <n v="580"/>
    <n v="11.428571428571429"/>
  </r>
  <r>
    <x v="32"/>
    <x v="32"/>
    <n v="40"/>
    <n v="15"/>
    <x v="1"/>
    <n v="50"/>
    <n v="5"/>
    <n v="250"/>
    <n v="9.0909090909090917"/>
  </r>
  <r>
    <x v="33"/>
    <x v="33"/>
    <n v="30"/>
    <n v="12"/>
    <x v="8"/>
    <n v="34"/>
    <n v="15"/>
    <n v="510"/>
    <n v="9.5238095238095237"/>
  </r>
  <r>
    <x v="34"/>
    <x v="34"/>
    <n v="20"/>
    <n v="8"/>
    <x v="3"/>
    <n v="23"/>
    <n v="20"/>
    <n v="460"/>
    <n v="10.714285714285714"/>
  </r>
  <r>
    <x v="35"/>
    <x v="35"/>
    <n v="15"/>
    <n v="6"/>
    <x v="10"/>
    <n v="17"/>
    <n v="50"/>
    <n v="850"/>
    <n v="9.5238095238095237"/>
  </r>
  <r>
    <x v="36"/>
    <x v="36"/>
    <n v="25"/>
    <n v="10"/>
    <x v="8"/>
    <n v="29"/>
    <n v="5"/>
    <n v="145"/>
    <n v="11.428571428571429"/>
  </r>
  <r>
    <x v="37"/>
    <x v="37"/>
    <n v="40"/>
    <n v="18"/>
    <x v="11"/>
    <n v="49"/>
    <n v="8"/>
    <n v="392"/>
    <n v="15.517241379310345"/>
  </r>
  <r>
    <x v="38"/>
    <x v="38"/>
    <n v="30"/>
    <n v="15"/>
    <x v="9"/>
    <n v="39"/>
    <n v="20"/>
    <n v="780"/>
    <n v="13.333333333333334"/>
  </r>
  <r>
    <x v="39"/>
    <x v="39"/>
    <n v="35"/>
    <n v="12"/>
    <x v="8"/>
    <n v="31"/>
    <n v="15"/>
    <n v="465"/>
    <n v="8.5106382978723403"/>
  </r>
  <r>
    <x v="40"/>
    <x v="40"/>
    <n v="25"/>
    <n v="8"/>
    <x v="3"/>
    <n v="28"/>
    <n v="10"/>
    <n v="280"/>
    <n v="9.0909090909090917"/>
  </r>
  <r>
    <x v="41"/>
    <x v="41"/>
    <n v="20"/>
    <n v="10"/>
    <x v="8"/>
    <n v="24"/>
    <n v="15"/>
    <n v="360"/>
    <n v="13.333333333333334"/>
  </r>
  <r>
    <x v="42"/>
    <x v="42"/>
    <n v="30"/>
    <n v="12"/>
    <x v="1"/>
    <n v="37"/>
    <n v="20"/>
    <n v="740"/>
    <n v="11.904761904761903"/>
  </r>
  <r>
    <x v="43"/>
    <x v="43"/>
    <n v="40"/>
    <n v="18"/>
    <x v="7"/>
    <n v="51"/>
    <n v="30"/>
    <n v="1530"/>
    <n v="12.068965517241379"/>
  </r>
  <r>
    <x v="44"/>
    <x v="44"/>
    <n v="50"/>
    <n v="20"/>
    <x v="11"/>
    <n v="61"/>
    <n v="8"/>
    <n v="488"/>
    <n v="12.857142857142856"/>
  </r>
  <r>
    <x v="45"/>
    <x v="45"/>
    <n v="25"/>
    <n v="10"/>
    <x v="3"/>
    <n v="28"/>
    <n v="150"/>
    <n v="4200"/>
    <n v="8.57142857142857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9FEBA-734F-40CE-957D-67FA3F1C8A1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fieldListSortAscending="1">
  <location ref="A3:B7" firstHeaderRow="1" firstDataRow="1" firstDataCol="1" rowPageCount="1" colPageCount="1"/>
  <pivotFields count="11">
    <pivotField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axis="axisRow" showAll="0">
      <items count="47">
        <item x="40"/>
        <item x="33"/>
        <item x="22"/>
        <item x="29"/>
        <item x="10"/>
        <item x="11"/>
        <item x="13"/>
        <item x="35"/>
        <item x="7"/>
        <item x="19"/>
        <item x="45"/>
        <item x="18"/>
        <item x="16"/>
        <item x="20"/>
        <item x="17"/>
        <item x="21"/>
        <item x="26"/>
        <item x="3"/>
        <item x="2"/>
        <item x="37"/>
        <item x="0"/>
        <item x="38"/>
        <item x="42"/>
        <item x="1"/>
        <item x="30"/>
        <item x="23"/>
        <item x="31"/>
        <item x="28"/>
        <item x="14"/>
        <item x="27"/>
        <item x="36"/>
        <item x="24"/>
        <item x="6"/>
        <item x="4"/>
        <item x="25"/>
        <item x="5"/>
        <item x="32"/>
        <item x="12"/>
        <item x="39"/>
        <item x="41"/>
        <item x="44"/>
        <item x="9"/>
        <item x="34"/>
        <item x="43"/>
        <item x="8"/>
        <item x="15"/>
        <item t="default"/>
      </items>
    </pivotField>
    <pivotField showAll="0"/>
    <pivotField showAll="0"/>
    <pivotField axis="axisPage" dataField="1" multipleItemSelectionAllowed="1" showAll="0">
      <items count="14">
        <item h="1" x="10"/>
        <item h="1" x="3"/>
        <item h="1" x="8"/>
        <item h="1" x="1"/>
        <item h="1" x="9"/>
        <item h="1" x="7"/>
        <item h="1" x="5"/>
        <item h="1" x="11"/>
        <item h="1" x="0"/>
        <item h="1" x="12"/>
        <item h="1" x="6"/>
        <item x="2"/>
        <item x="4"/>
        <item t="default"/>
      </items>
    </pivotField>
    <pivotField showAll="0"/>
    <pivotField numFmtId="164" showAll="0"/>
    <pivotField numFmtId="164" showAll="0"/>
    <pivotField numFmtId="164" showAll="0"/>
    <pivotField showAll="0"/>
    <pivotField showAll="0"/>
  </pivotFields>
  <rowFields count="1">
    <field x="1"/>
  </rowFields>
  <rowItems count="4">
    <i>
      <x v="6"/>
    </i>
    <i>
      <x v="18"/>
    </i>
    <i>
      <x v="33"/>
    </i>
    <i t="grand">
      <x/>
    </i>
  </rowItems>
  <colItems count="1">
    <i/>
  </colItems>
  <pageFields count="1">
    <pageField fld="4" hier="-1"/>
  </pageFields>
  <dataFields count="1">
    <dataField name="Sum of Number of _x000a_Units Sold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05F04-8A4D-43F4-91C7-57E1F0772F08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50" firstHeaderRow="0" firstDataRow="1" firstDataCol="1"/>
  <pivotFields count="9">
    <pivotField showAll="0"/>
    <pivotField axis="axisRow" showAll="0">
      <items count="47">
        <item x="40"/>
        <item x="33"/>
        <item x="22"/>
        <item x="29"/>
        <item x="10"/>
        <item x="11"/>
        <item x="13"/>
        <item x="35"/>
        <item x="7"/>
        <item x="19"/>
        <item x="45"/>
        <item x="18"/>
        <item x="16"/>
        <item x="20"/>
        <item x="17"/>
        <item x="21"/>
        <item x="26"/>
        <item x="3"/>
        <item x="2"/>
        <item x="37"/>
        <item x="0"/>
        <item x="38"/>
        <item x="42"/>
        <item x="1"/>
        <item x="30"/>
        <item x="23"/>
        <item x="31"/>
        <item x="28"/>
        <item x="14"/>
        <item x="27"/>
        <item x="36"/>
        <item x="24"/>
        <item x="6"/>
        <item x="4"/>
        <item x="25"/>
        <item x="5"/>
        <item x="32"/>
        <item x="12"/>
        <item x="39"/>
        <item x="41"/>
        <item x="44"/>
        <item x="9"/>
        <item x="34"/>
        <item x="43"/>
        <item x="8"/>
        <item x="15"/>
        <item t="default"/>
      </items>
    </pivotField>
    <pivotField showAll="0"/>
    <pivotField dataField="1" showAll="0"/>
    <pivotField dataField="1" showAll="0"/>
    <pivotField showAll="0"/>
    <pivotField numFmtId="164" showAll="0"/>
    <pivotField numFmtId="164" showAll="0"/>
    <pivotField numFmtId="164" showAll="0"/>
  </pivotFields>
  <rowFields count="1">
    <field x="1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urchase/_x000a_Stock in" fld="3" baseField="0" baseItem="0"/>
    <dataField name="Sum of Number of _x000a_Units Sold" fld="4" baseField="0" baseItem="0"/>
  </dataFields>
  <chartFormats count="9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1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1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1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1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1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1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1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1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1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1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1" format="40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1" format="4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1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1" format="43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1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1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1" format="46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1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1" format="48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" format="49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" format="50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1" format="5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1" format="52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1" format="53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1" format="54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1" format="55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1" format="56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1" format="57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1" format="58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  <chartFormat chart="1" format="59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1" format="60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1" format="61">
      <pivotArea type="data" outline="0" fieldPosition="0">
        <references count="2">
          <reference field="4294967294" count="1" selected="0">
            <x v="1"/>
          </reference>
          <reference field="1" count="1" selected="0">
            <x v="13"/>
          </reference>
        </references>
      </pivotArea>
    </chartFormat>
    <chartFormat chart="1" format="62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1" format="63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1" format="64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1" format="65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1" format="66">
      <pivotArea type="data" outline="0" fieldPosition="0">
        <references count="2">
          <reference field="4294967294" count="1" selected="0">
            <x v="1"/>
          </reference>
          <reference field="1" count="1" selected="0">
            <x v="18"/>
          </reference>
        </references>
      </pivotArea>
    </chartFormat>
    <chartFormat chart="1" format="67">
      <pivotArea type="data" outline="0" fieldPosition="0">
        <references count="2">
          <reference field="4294967294" count="1" selected="0">
            <x v="1"/>
          </reference>
          <reference field="1" count="1" selected="0">
            <x v="19"/>
          </reference>
        </references>
      </pivotArea>
    </chartFormat>
    <chartFormat chart="1" format="68">
      <pivotArea type="data" outline="0" fieldPosition="0">
        <references count="2">
          <reference field="4294967294" count="1" selected="0">
            <x v="1"/>
          </reference>
          <reference field="1" count="1" selected="0">
            <x v="20"/>
          </reference>
        </references>
      </pivotArea>
    </chartFormat>
    <chartFormat chart="1" format="69">
      <pivotArea type="data" outline="0" fieldPosition="0">
        <references count="2">
          <reference field="4294967294" count="1" selected="0">
            <x v="1"/>
          </reference>
          <reference field="1" count="1" selected="0">
            <x v="21"/>
          </reference>
        </references>
      </pivotArea>
    </chartFormat>
    <chartFormat chart="1" format="70">
      <pivotArea type="data" outline="0" fieldPosition="0">
        <references count="2">
          <reference field="4294967294" count="1" selected="0">
            <x v="1"/>
          </reference>
          <reference field="1" count="1" selected="0">
            <x v="22"/>
          </reference>
        </references>
      </pivotArea>
    </chartFormat>
    <chartFormat chart="1" format="71">
      <pivotArea type="data" outline="0" fieldPosition="0">
        <references count="2">
          <reference field="4294967294" count="1" selected="0">
            <x v="1"/>
          </reference>
          <reference field="1" count="1" selected="0">
            <x v="23"/>
          </reference>
        </references>
      </pivotArea>
    </chartFormat>
    <chartFormat chart="1" format="72">
      <pivotArea type="data" outline="0" fieldPosition="0">
        <references count="2">
          <reference field="4294967294" count="1" selected="0">
            <x v="1"/>
          </reference>
          <reference field="1" count="1" selected="0">
            <x v="24"/>
          </reference>
        </references>
      </pivotArea>
    </chartFormat>
    <chartFormat chart="1" format="73">
      <pivotArea type="data" outline="0" fieldPosition="0">
        <references count="2">
          <reference field="4294967294" count="1" selected="0">
            <x v="1"/>
          </reference>
          <reference field="1" count="1" selected="0">
            <x v="25"/>
          </reference>
        </references>
      </pivotArea>
    </chartFormat>
    <chartFormat chart="1" format="74">
      <pivotArea type="data" outline="0" fieldPosition="0">
        <references count="2">
          <reference field="4294967294" count="1" selected="0">
            <x v="1"/>
          </reference>
          <reference field="1" count="1" selected="0">
            <x v="26"/>
          </reference>
        </references>
      </pivotArea>
    </chartFormat>
    <chartFormat chart="1" format="75">
      <pivotArea type="data" outline="0" fieldPosition="0">
        <references count="2">
          <reference field="4294967294" count="1" selected="0">
            <x v="1"/>
          </reference>
          <reference field="1" count="1" selected="0">
            <x v="27"/>
          </reference>
        </references>
      </pivotArea>
    </chartFormat>
    <chartFormat chart="1" format="76">
      <pivotArea type="data" outline="0" fieldPosition="0">
        <references count="2">
          <reference field="4294967294" count="1" selected="0">
            <x v="1"/>
          </reference>
          <reference field="1" count="1" selected="0">
            <x v="28"/>
          </reference>
        </references>
      </pivotArea>
    </chartFormat>
    <chartFormat chart="1" format="77">
      <pivotArea type="data" outline="0" fieldPosition="0">
        <references count="2">
          <reference field="4294967294" count="1" selected="0">
            <x v="1"/>
          </reference>
          <reference field="1" count="1" selected="0">
            <x v="29"/>
          </reference>
        </references>
      </pivotArea>
    </chartFormat>
    <chartFormat chart="1" format="78">
      <pivotArea type="data" outline="0" fieldPosition="0">
        <references count="2">
          <reference field="4294967294" count="1" selected="0">
            <x v="1"/>
          </reference>
          <reference field="1" count="1" selected="0">
            <x v="30"/>
          </reference>
        </references>
      </pivotArea>
    </chartFormat>
    <chartFormat chart="1" format="79">
      <pivotArea type="data" outline="0" fieldPosition="0">
        <references count="2">
          <reference field="4294967294" count="1" selected="0">
            <x v="1"/>
          </reference>
          <reference field="1" count="1" selected="0">
            <x v="31"/>
          </reference>
        </references>
      </pivotArea>
    </chartFormat>
    <chartFormat chart="1" format="80">
      <pivotArea type="data" outline="0" fieldPosition="0">
        <references count="2">
          <reference field="4294967294" count="1" selected="0">
            <x v="1"/>
          </reference>
          <reference field="1" count="1" selected="0">
            <x v="32"/>
          </reference>
        </references>
      </pivotArea>
    </chartFormat>
    <chartFormat chart="1" format="81">
      <pivotArea type="data" outline="0" fieldPosition="0">
        <references count="2">
          <reference field="4294967294" count="1" selected="0">
            <x v="1"/>
          </reference>
          <reference field="1" count="1" selected="0">
            <x v="33"/>
          </reference>
        </references>
      </pivotArea>
    </chartFormat>
    <chartFormat chart="1" format="82">
      <pivotArea type="data" outline="0" fieldPosition="0">
        <references count="2">
          <reference field="4294967294" count="1" selected="0">
            <x v="1"/>
          </reference>
          <reference field="1" count="1" selected="0">
            <x v="34"/>
          </reference>
        </references>
      </pivotArea>
    </chartFormat>
    <chartFormat chart="1" format="83">
      <pivotArea type="data" outline="0" fieldPosition="0">
        <references count="2">
          <reference field="4294967294" count="1" selected="0">
            <x v="1"/>
          </reference>
          <reference field="1" count="1" selected="0">
            <x v="35"/>
          </reference>
        </references>
      </pivotArea>
    </chartFormat>
    <chartFormat chart="1" format="84">
      <pivotArea type="data" outline="0" fieldPosition="0">
        <references count="2">
          <reference field="4294967294" count="1" selected="0">
            <x v="1"/>
          </reference>
          <reference field="1" count="1" selected="0">
            <x v="36"/>
          </reference>
        </references>
      </pivotArea>
    </chartFormat>
    <chartFormat chart="1" format="85">
      <pivotArea type="data" outline="0" fieldPosition="0">
        <references count="2">
          <reference field="4294967294" count="1" selected="0">
            <x v="1"/>
          </reference>
          <reference field="1" count="1" selected="0">
            <x v="37"/>
          </reference>
        </references>
      </pivotArea>
    </chartFormat>
    <chartFormat chart="1" format="86">
      <pivotArea type="data" outline="0" fieldPosition="0">
        <references count="2">
          <reference field="4294967294" count="1" selected="0">
            <x v="1"/>
          </reference>
          <reference field="1" count="1" selected="0">
            <x v="38"/>
          </reference>
        </references>
      </pivotArea>
    </chartFormat>
    <chartFormat chart="1" format="87">
      <pivotArea type="data" outline="0" fieldPosition="0">
        <references count="2">
          <reference field="4294967294" count="1" selected="0">
            <x v="1"/>
          </reference>
          <reference field="1" count="1" selected="0">
            <x v="39"/>
          </reference>
        </references>
      </pivotArea>
    </chartFormat>
    <chartFormat chart="1" format="88">
      <pivotArea type="data" outline="0" fieldPosition="0">
        <references count="2">
          <reference field="4294967294" count="1" selected="0">
            <x v="1"/>
          </reference>
          <reference field="1" count="1" selected="0">
            <x v="40"/>
          </reference>
        </references>
      </pivotArea>
    </chartFormat>
    <chartFormat chart="1" format="89">
      <pivotArea type="data" outline="0" fieldPosition="0">
        <references count="2">
          <reference field="4294967294" count="1" selected="0">
            <x v="1"/>
          </reference>
          <reference field="1" count="1" selected="0">
            <x v="41"/>
          </reference>
        </references>
      </pivotArea>
    </chartFormat>
    <chartFormat chart="1" format="90">
      <pivotArea type="data" outline="0" fieldPosition="0">
        <references count="2">
          <reference field="4294967294" count="1" selected="0">
            <x v="1"/>
          </reference>
          <reference field="1" count="1" selected="0">
            <x v="42"/>
          </reference>
        </references>
      </pivotArea>
    </chartFormat>
    <chartFormat chart="1" format="91">
      <pivotArea type="data" outline="0" fieldPosition="0">
        <references count="2">
          <reference field="4294967294" count="1" selected="0">
            <x v="1"/>
          </reference>
          <reference field="1" count="1" selected="0">
            <x v="43"/>
          </reference>
        </references>
      </pivotArea>
    </chartFormat>
    <chartFormat chart="1" format="92">
      <pivotArea type="data" outline="0" fieldPosition="0">
        <references count="2">
          <reference field="4294967294" count="1" selected="0">
            <x v="1"/>
          </reference>
          <reference field="1" count="1" selected="0">
            <x v="44"/>
          </reference>
        </references>
      </pivotArea>
    </chartFormat>
    <chartFormat chart="1" format="93">
      <pivotArea type="data" outline="0" fieldPosition="0">
        <references count="2">
          <reference field="4294967294" count="1" selected="0">
            <x v="1"/>
          </reference>
          <reference field="1" count="1" selected="0">
            <x v="4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7A640-1020-4CE7-B044-0B65A5DB0DD2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50" firstHeaderRow="0" firstDataRow="1" firstDataCol="1"/>
  <pivotFields count="9">
    <pivotField showAll="0"/>
    <pivotField axis="axisRow" showAll="0">
      <items count="47">
        <item x="40"/>
        <item x="33"/>
        <item x="22"/>
        <item x="29"/>
        <item x="10"/>
        <item x="11"/>
        <item x="13"/>
        <item x="35"/>
        <item x="7"/>
        <item x="19"/>
        <item x="45"/>
        <item x="18"/>
        <item x="16"/>
        <item x="20"/>
        <item x="17"/>
        <item x="21"/>
        <item x="26"/>
        <item x="3"/>
        <item x="2"/>
        <item x="37"/>
        <item x="0"/>
        <item x="38"/>
        <item x="42"/>
        <item x="1"/>
        <item x="30"/>
        <item x="23"/>
        <item x="31"/>
        <item x="28"/>
        <item x="14"/>
        <item x="27"/>
        <item x="36"/>
        <item x="24"/>
        <item x="6"/>
        <item x="4"/>
        <item x="25"/>
        <item x="5"/>
        <item x="32"/>
        <item x="12"/>
        <item x="39"/>
        <item x="41"/>
        <item x="44"/>
        <item x="9"/>
        <item x="34"/>
        <item x="43"/>
        <item x="8"/>
        <item x="15"/>
        <item t="default"/>
      </items>
    </pivotField>
    <pivotField showAll="0"/>
    <pivotField showAll="0"/>
    <pivotField dataField="1" showAll="0"/>
    <pivotField showAll="0"/>
    <pivotField dataField="1" numFmtId="164" showAll="0"/>
    <pivotField dataField="1" numFmtId="164" showAll="0"/>
    <pivotField numFmtId="164" showAll="0"/>
  </pivotFields>
  <rowFields count="1">
    <field x="1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st Price _x000a_Per Unit (USD)" fld="6" baseField="0" baseItem="0" numFmtId="164"/>
    <dataField name="Sum of TOTAL STOCK VALUE (USD)" fld="7" baseField="1" baseItem="0">
      <extLst>
        <ext xmlns:x14="http://schemas.microsoft.com/office/spreadsheetml/2009/9/main" uri="{E15A36E0-9728-4e99-A89B-3F7291B0FE68}">
          <x14:dataField pivotShowAs="rankAscending"/>
        </ext>
      </extLst>
    </dataField>
    <dataField name="Sum of Number of _x000a_Units Sold" fld="4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5358A4-8B36-414B-9DDE-AC6EB0A113C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48" firstHeaderRow="1" firstDataRow="1" firstDataCol="1"/>
  <pivotFields count="8">
    <pivotField showAll="0"/>
    <pivotField axis="axisRow" showAll="0">
      <items count="47">
        <item x="40"/>
        <item x="33"/>
        <item x="22"/>
        <item x="29"/>
        <item x="10"/>
        <item x="11"/>
        <item x="13"/>
        <item x="35"/>
        <item x="7"/>
        <item x="19"/>
        <item x="45"/>
        <item x="18"/>
        <item x="16"/>
        <item x="20"/>
        <item x="17"/>
        <item x="21"/>
        <item x="26"/>
        <item x="3"/>
        <item x="2"/>
        <item x="37"/>
        <item x="0"/>
        <item x="38"/>
        <item x="42"/>
        <item x="1"/>
        <item x="30"/>
        <item x="23"/>
        <item x="31"/>
        <item x="28"/>
        <item x="14"/>
        <item x="27"/>
        <item x="36"/>
        <item x="24"/>
        <item x="6"/>
        <item x="4"/>
        <item x="25"/>
        <item x="5"/>
        <item x="32"/>
        <item x="12"/>
        <item x="39"/>
        <item x="41"/>
        <item x="44"/>
        <item x="9"/>
        <item x="34"/>
        <item x="43"/>
        <item x="8"/>
        <item x="15"/>
        <item t="default"/>
      </items>
    </pivotField>
    <pivotField showAll="0"/>
    <pivotField showAll="0"/>
    <pivotField dataField="1" showAll="0"/>
    <pivotField showAll="0"/>
    <pivotField numFmtId="164" showAll="0"/>
    <pivotField numFmtId="164" showAll="0"/>
  </pivotFields>
  <rowFields count="1">
    <field x="1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dataFields count="1">
    <dataField name="Sum of Number of _x000a_Units Sold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87A2-5E74-4E54-9CA6-3EA8F53C3D03}">
  <dimension ref="B2:J52"/>
  <sheetViews>
    <sheetView showGridLines="0" tabSelected="1" topLeftCell="A4" zoomScale="50" workbookViewId="0">
      <selection activeCell="O11" sqref="O11"/>
    </sheetView>
  </sheetViews>
  <sheetFormatPr defaultRowHeight="14.4" x14ac:dyDescent="0.3"/>
  <cols>
    <col min="1" max="1" width="3.5546875" style="1" customWidth="1"/>
    <col min="2" max="2" width="12.5546875" style="1" customWidth="1"/>
    <col min="3" max="3" width="20.88671875" style="1" customWidth="1"/>
    <col min="4" max="4" width="10.88671875" style="1" customWidth="1"/>
    <col min="5" max="5" width="12" style="1" customWidth="1"/>
    <col min="6" max="6" width="12.6640625" style="1" customWidth="1"/>
    <col min="7" max="7" width="10.5546875" style="1" customWidth="1"/>
    <col min="8" max="8" width="15.109375" style="1" customWidth="1"/>
    <col min="9" max="9" width="39.33203125" style="1" customWidth="1"/>
    <col min="10" max="10" width="22.21875" style="1" customWidth="1"/>
    <col min="11" max="11" width="8.88671875" style="1"/>
    <col min="12" max="12" width="16.88671875" style="1" customWidth="1"/>
    <col min="13" max="16384" width="8.88671875" style="1"/>
  </cols>
  <sheetData>
    <row r="2" spans="2:10" ht="18.600000000000001" thickBot="1" x14ac:dyDescent="0.35">
      <c r="B2" s="2" t="s">
        <v>0</v>
      </c>
      <c r="C2" s="2"/>
      <c r="D2" s="2"/>
      <c r="E2" s="2"/>
      <c r="F2" s="2"/>
      <c r="G2" s="2"/>
      <c r="H2" s="2"/>
      <c r="I2" s="2"/>
    </row>
    <row r="4" spans="2:10" ht="18.600000000000001" thickBot="1" x14ac:dyDescent="0.35">
      <c r="B4" s="3" t="s">
        <v>1</v>
      </c>
      <c r="C4" s="2"/>
      <c r="D4" s="2"/>
      <c r="E4" s="2"/>
      <c r="F4" s="2"/>
      <c r="G4" s="2"/>
      <c r="H4" s="2"/>
      <c r="I4" s="2"/>
      <c r="J4" s="2"/>
    </row>
    <row r="6" spans="2:10" ht="31.2" x14ac:dyDescent="0.3">
      <c r="B6" s="4" t="s">
        <v>100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7" t="s">
        <v>7</v>
      </c>
      <c r="I6" s="7" t="s">
        <v>101</v>
      </c>
      <c r="J6" s="7" t="s">
        <v>102</v>
      </c>
    </row>
    <row r="7" spans="2:10" x14ac:dyDescent="0.3">
      <c r="B7" s="6" t="s">
        <v>8</v>
      </c>
      <c r="C7" s="6" t="s">
        <v>9</v>
      </c>
      <c r="D7" s="6">
        <v>50</v>
      </c>
      <c r="E7" s="6">
        <v>20</v>
      </c>
      <c r="F7" s="6">
        <v>10</v>
      </c>
      <c r="G7" s="6">
        <v>60</v>
      </c>
      <c r="H7" s="8">
        <v>1200</v>
      </c>
      <c r="I7" s="8">
        <v>72000</v>
      </c>
      <c r="J7" s="9">
        <f xml:space="preserve"> (F7/(D7+E7))*100</f>
        <v>14.285714285714285</v>
      </c>
    </row>
    <row r="8" spans="2:10" x14ac:dyDescent="0.3">
      <c r="B8" s="6" t="s">
        <v>10</v>
      </c>
      <c r="C8" s="6" t="s">
        <v>11</v>
      </c>
      <c r="D8" s="6">
        <v>40</v>
      </c>
      <c r="E8" s="6">
        <v>15</v>
      </c>
      <c r="F8" s="6">
        <v>5</v>
      </c>
      <c r="G8" s="6">
        <v>50</v>
      </c>
      <c r="H8" s="8">
        <v>500</v>
      </c>
      <c r="I8" s="8">
        <v>25000</v>
      </c>
      <c r="J8" s="9">
        <f t="shared" ref="J8:J52" si="0" xml:space="preserve"> (F8/(D8+E8))*100</f>
        <v>9.0909090909090917</v>
      </c>
    </row>
    <row r="9" spans="2:10" x14ac:dyDescent="0.3">
      <c r="B9" s="6" t="s">
        <v>12</v>
      </c>
      <c r="C9" s="6" t="s">
        <v>13</v>
      </c>
      <c r="D9" s="6">
        <v>60</v>
      </c>
      <c r="E9" s="6">
        <v>25</v>
      </c>
      <c r="F9" s="6">
        <v>15</v>
      </c>
      <c r="G9" s="6">
        <v>70</v>
      </c>
      <c r="H9" s="8">
        <v>50</v>
      </c>
      <c r="I9" s="8">
        <v>3500</v>
      </c>
      <c r="J9" s="9">
        <f t="shared" si="0"/>
        <v>17.647058823529413</v>
      </c>
    </row>
    <row r="10" spans="2:10" x14ac:dyDescent="0.3">
      <c r="B10" s="6" t="s">
        <v>14</v>
      </c>
      <c r="C10" s="6" t="s">
        <v>15</v>
      </c>
      <c r="D10" s="6">
        <v>30</v>
      </c>
      <c r="E10" s="6">
        <v>10</v>
      </c>
      <c r="F10" s="6">
        <v>3</v>
      </c>
      <c r="G10" s="6">
        <v>37</v>
      </c>
      <c r="H10" s="8">
        <v>100</v>
      </c>
      <c r="I10" s="8">
        <v>3700</v>
      </c>
      <c r="J10" s="9">
        <f t="shared" si="0"/>
        <v>7.5</v>
      </c>
    </row>
    <row r="11" spans="2:10" x14ac:dyDescent="0.3">
      <c r="B11" s="6" t="s">
        <v>16</v>
      </c>
      <c r="C11" s="6" t="s">
        <v>17</v>
      </c>
      <c r="D11" s="6">
        <v>70</v>
      </c>
      <c r="E11" s="6">
        <v>30</v>
      </c>
      <c r="F11" s="6">
        <v>20</v>
      </c>
      <c r="G11" s="6">
        <v>80</v>
      </c>
      <c r="H11" s="8">
        <v>900</v>
      </c>
      <c r="I11" s="8">
        <v>72000</v>
      </c>
      <c r="J11" s="9">
        <f t="shared" si="0"/>
        <v>20</v>
      </c>
    </row>
    <row r="12" spans="2:10" x14ac:dyDescent="0.3">
      <c r="B12" s="6" t="s">
        <v>18</v>
      </c>
      <c r="C12" s="6" t="s">
        <v>19</v>
      </c>
      <c r="D12" s="6">
        <v>45</v>
      </c>
      <c r="E12" s="6">
        <v>18</v>
      </c>
      <c r="F12" s="6">
        <v>8</v>
      </c>
      <c r="G12" s="6">
        <v>55</v>
      </c>
      <c r="H12" s="8">
        <v>700</v>
      </c>
      <c r="I12" s="8">
        <v>38500</v>
      </c>
      <c r="J12" s="9">
        <f t="shared" si="0"/>
        <v>12.698412698412698</v>
      </c>
    </row>
    <row r="13" spans="2:10" x14ac:dyDescent="0.3">
      <c r="B13" s="6" t="s">
        <v>20</v>
      </c>
      <c r="C13" s="6" t="s">
        <v>21</v>
      </c>
      <c r="D13" s="6">
        <v>55</v>
      </c>
      <c r="E13" s="6">
        <v>22</v>
      </c>
      <c r="F13" s="6">
        <v>12</v>
      </c>
      <c r="G13" s="6">
        <v>65</v>
      </c>
      <c r="H13" s="8">
        <v>150</v>
      </c>
      <c r="I13" s="8">
        <v>9750</v>
      </c>
      <c r="J13" s="9">
        <f t="shared" si="0"/>
        <v>15.584415584415584</v>
      </c>
    </row>
    <row r="14" spans="2:10" x14ac:dyDescent="0.3">
      <c r="B14" s="6" t="s">
        <v>22</v>
      </c>
      <c r="C14" s="6" t="s">
        <v>23</v>
      </c>
      <c r="D14" s="6">
        <v>25</v>
      </c>
      <c r="E14" s="6">
        <v>12</v>
      </c>
      <c r="F14" s="6">
        <v>5</v>
      </c>
      <c r="G14" s="6">
        <v>32</v>
      </c>
      <c r="H14" s="8">
        <v>200</v>
      </c>
      <c r="I14" s="8">
        <v>6400</v>
      </c>
      <c r="J14" s="9">
        <f t="shared" si="0"/>
        <v>13.513513513513514</v>
      </c>
    </row>
    <row r="15" spans="2:10" x14ac:dyDescent="0.3">
      <c r="B15" s="6" t="s">
        <v>24</v>
      </c>
      <c r="C15" s="6" t="s">
        <v>25</v>
      </c>
      <c r="D15" s="6">
        <v>35</v>
      </c>
      <c r="E15" s="6">
        <v>15</v>
      </c>
      <c r="F15" s="6">
        <v>7</v>
      </c>
      <c r="G15" s="6">
        <v>43</v>
      </c>
      <c r="H15" s="8">
        <v>80</v>
      </c>
      <c r="I15" s="8">
        <v>3440</v>
      </c>
      <c r="J15" s="9">
        <f t="shared" si="0"/>
        <v>14.000000000000002</v>
      </c>
    </row>
    <row r="16" spans="2:10" x14ac:dyDescent="0.3">
      <c r="B16" s="6" t="s">
        <v>26</v>
      </c>
      <c r="C16" s="6" t="s">
        <v>27</v>
      </c>
      <c r="D16" s="6">
        <v>40</v>
      </c>
      <c r="E16" s="6">
        <v>20</v>
      </c>
      <c r="F16" s="6">
        <v>10</v>
      </c>
      <c r="G16" s="6">
        <v>50</v>
      </c>
      <c r="H16" s="8">
        <v>60</v>
      </c>
      <c r="I16" s="8">
        <v>3000</v>
      </c>
      <c r="J16" s="9">
        <f t="shared" si="0"/>
        <v>16.666666666666664</v>
      </c>
    </row>
    <row r="17" spans="2:10" x14ac:dyDescent="0.3">
      <c r="B17" s="6" t="s">
        <v>28</v>
      </c>
      <c r="C17" s="6" t="s">
        <v>29</v>
      </c>
      <c r="D17" s="6">
        <v>20</v>
      </c>
      <c r="E17" s="6">
        <v>8</v>
      </c>
      <c r="F17" s="6">
        <v>3</v>
      </c>
      <c r="G17" s="6">
        <v>25</v>
      </c>
      <c r="H17" s="8">
        <v>150</v>
      </c>
      <c r="I17" s="8">
        <v>3750</v>
      </c>
      <c r="J17" s="9">
        <f t="shared" si="0"/>
        <v>10.714285714285714</v>
      </c>
    </row>
    <row r="18" spans="2:10" x14ac:dyDescent="0.3">
      <c r="B18" s="6" t="s">
        <v>30</v>
      </c>
      <c r="C18" s="6" t="s">
        <v>31</v>
      </c>
      <c r="D18" s="6">
        <v>30</v>
      </c>
      <c r="E18" s="6">
        <v>15</v>
      </c>
      <c r="F18" s="6">
        <v>7</v>
      </c>
      <c r="G18" s="6">
        <v>38</v>
      </c>
      <c r="H18" s="8">
        <v>30</v>
      </c>
      <c r="I18" s="8">
        <v>1140</v>
      </c>
      <c r="J18" s="9">
        <f t="shared" si="0"/>
        <v>15.555555555555555</v>
      </c>
    </row>
    <row r="19" spans="2:10" x14ac:dyDescent="0.3">
      <c r="B19" s="6" t="s">
        <v>32</v>
      </c>
      <c r="C19" s="6" t="s">
        <v>33</v>
      </c>
      <c r="D19" s="6">
        <v>50</v>
      </c>
      <c r="E19" s="6">
        <v>25</v>
      </c>
      <c r="F19" s="6">
        <v>12</v>
      </c>
      <c r="G19" s="6">
        <v>63</v>
      </c>
      <c r="H19" s="8">
        <v>20</v>
      </c>
      <c r="I19" s="8">
        <v>1260</v>
      </c>
      <c r="J19" s="9">
        <f t="shared" si="0"/>
        <v>16</v>
      </c>
    </row>
    <row r="20" spans="2:10" x14ac:dyDescent="0.3">
      <c r="B20" s="6" t="s">
        <v>34</v>
      </c>
      <c r="C20" s="6" t="s">
        <v>35</v>
      </c>
      <c r="D20" s="6">
        <v>60</v>
      </c>
      <c r="E20" s="6">
        <v>30</v>
      </c>
      <c r="F20" s="6">
        <v>15</v>
      </c>
      <c r="G20" s="6">
        <v>75</v>
      </c>
      <c r="H20" s="8">
        <v>10</v>
      </c>
      <c r="I20" s="8">
        <v>750</v>
      </c>
      <c r="J20" s="9">
        <f t="shared" si="0"/>
        <v>16.666666666666664</v>
      </c>
    </row>
    <row r="21" spans="2:10" x14ac:dyDescent="0.3">
      <c r="B21" s="6" t="s">
        <v>36</v>
      </c>
      <c r="C21" s="6" t="s">
        <v>37</v>
      </c>
      <c r="D21" s="6">
        <v>40</v>
      </c>
      <c r="E21" s="6">
        <v>20</v>
      </c>
      <c r="F21" s="6">
        <v>8</v>
      </c>
      <c r="G21" s="6">
        <v>52</v>
      </c>
      <c r="H21" s="8">
        <v>25</v>
      </c>
      <c r="I21" s="8">
        <v>1300</v>
      </c>
      <c r="J21" s="9">
        <f t="shared" si="0"/>
        <v>13.333333333333334</v>
      </c>
    </row>
    <row r="22" spans="2:10" x14ac:dyDescent="0.3">
      <c r="B22" s="6" t="s">
        <v>38</v>
      </c>
      <c r="C22" s="6" t="s">
        <v>39</v>
      </c>
      <c r="D22" s="6">
        <v>35</v>
      </c>
      <c r="E22" s="6">
        <v>15</v>
      </c>
      <c r="F22" s="6">
        <v>5</v>
      </c>
      <c r="G22" s="6">
        <v>45</v>
      </c>
      <c r="H22" s="8">
        <v>40</v>
      </c>
      <c r="I22" s="8">
        <v>1800</v>
      </c>
      <c r="J22" s="9">
        <f t="shared" si="0"/>
        <v>10</v>
      </c>
    </row>
    <row r="23" spans="2:10" x14ac:dyDescent="0.3">
      <c r="B23" s="6" t="s">
        <v>40</v>
      </c>
      <c r="C23" s="6" t="s">
        <v>41</v>
      </c>
      <c r="D23" s="6">
        <v>25</v>
      </c>
      <c r="E23" s="6">
        <v>10</v>
      </c>
      <c r="F23" s="6">
        <v>4</v>
      </c>
      <c r="G23" s="6">
        <v>31</v>
      </c>
      <c r="H23" s="8">
        <v>100</v>
      </c>
      <c r="I23" s="8">
        <v>3100</v>
      </c>
      <c r="J23" s="9">
        <f t="shared" si="0"/>
        <v>11.428571428571429</v>
      </c>
    </row>
    <row r="24" spans="2:10" x14ac:dyDescent="0.3">
      <c r="B24" s="6" t="s">
        <v>42</v>
      </c>
      <c r="C24" s="6" t="s">
        <v>43</v>
      </c>
      <c r="D24" s="6">
        <v>30</v>
      </c>
      <c r="E24" s="6">
        <v>12</v>
      </c>
      <c r="F24" s="6">
        <v>6</v>
      </c>
      <c r="G24" s="6">
        <v>36</v>
      </c>
      <c r="H24" s="8">
        <v>80</v>
      </c>
      <c r="I24" s="8">
        <v>2880</v>
      </c>
      <c r="J24" s="9">
        <f t="shared" si="0"/>
        <v>14.285714285714285</v>
      </c>
    </row>
    <row r="25" spans="2:10" x14ac:dyDescent="0.3">
      <c r="B25" s="6" t="s">
        <v>44</v>
      </c>
      <c r="C25" s="6" t="s">
        <v>45</v>
      </c>
      <c r="D25" s="6">
        <v>20</v>
      </c>
      <c r="E25" s="6">
        <v>8</v>
      </c>
      <c r="F25" s="6">
        <v>3</v>
      </c>
      <c r="G25" s="6">
        <v>25</v>
      </c>
      <c r="H25" s="8">
        <v>120</v>
      </c>
      <c r="I25" s="8">
        <v>3000</v>
      </c>
      <c r="J25" s="9">
        <f t="shared" si="0"/>
        <v>10.714285714285714</v>
      </c>
    </row>
    <row r="26" spans="2:10" x14ac:dyDescent="0.3">
      <c r="B26" s="6" t="s">
        <v>46</v>
      </c>
      <c r="C26" s="6" t="s">
        <v>47</v>
      </c>
      <c r="D26" s="6">
        <v>15</v>
      </c>
      <c r="E26" s="6">
        <v>6</v>
      </c>
      <c r="F26" s="6">
        <v>2</v>
      </c>
      <c r="G26" s="6">
        <v>19</v>
      </c>
      <c r="H26" s="8">
        <v>200</v>
      </c>
      <c r="I26" s="8">
        <v>3800</v>
      </c>
      <c r="J26" s="9">
        <f t="shared" si="0"/>
        <v>9.5238095238095237</v>
      </c>
    </row>
    <row r="27" spans="2:10" x14ac:dyDescent="0.3">
      <c r="B27" s="6" t="s">
        <v>48</v>
      </c>
      <c r="C27" s="6" t="s">
        <v>49</v>
      </c>
      <c r="D27" s="6">
        <v>25</v>
      </c>
      <c r="E27" s="6">
        <v>10</v>
      </c>
      <c r="F27" s="6">
        <v>4</v>
      </c>
      <c r="G27" s="6">
        <v>29</v>
      </c>
      <c r="H27" s="8">
        <v>400</v>
      </c>
      <c r="I27" s="8">
        <v>11600</v>
      </c>
      <c r="J27" s="9">
        <f t="shared" si="0"/>
        <v>11.428571428571429</v>
      </c>
    </row>
    <row r="28" spans="2:10" x14ac:dyDescent="0.3">
      <c r="B28" s="6" t="s">
        <v>50</v>
      </c>
      <c r="C28" s="6" t="s">
        <v>51</v>
      </c>
      <c r="D28" s="6">
        <v>40</v>
      </c>
      <c r="E28" s="6">
        <v>18</v>
      </c>
      <c r="F28" s="6">
        <v>9</v>
      </c>
      <c r="G28" s="6">
        <v>49</v>
      </c>
      <c r="H28" s="8">
        <v>600</v>
      </c>
      <c r="I28" s="8">
        <v>29400</v>
      </c>
      <c r="J28" s="9">
        <f t="shared" si="0"/>
        <v>15.517241379310345</v>
      </c>
    </row>
    <row r="29" spans="2:10" x14ac:dyDescent="0.3">
      <c r="B29" s="6" t="s">
        <v>52</v>
      </c>
      <c r="C29" s="6" t="s">
        <v>53</v>
      </c>
      <c r="D29" s="6">
        <v>30</v>
      </c>
      <c r="E29" s="6">
        <v>15</v>
      </c>
      <c r="F29" s="6">
        <v>7</v>
      </c>
      <c r="G29" s="6">
        <v>38</v>
      </c>
      <c r="H29" s="8">
        <v>350</v>
      </c>
      <c r="I29" s="8">
        <v>13300</v>
      </c>
      <c r="J29" s="9">
        <f t="shared" si="0"/>
        <v>15.555555555555555</v>
      </c>
    </row>
    <row r="30" spans="2:10" x14ac:dyDescent="0.3">
      <c r="B30" s="6" t="s">
        <v>54</v>
      </c>
      <c r="C30" s="6" t="s">
        <v>55</v>
      </c>
      <c r="D30" s="6">
        <v>25</v>
      </c>
      <c r="E30" s="6">
        <v>12</v>
      </c>
      <c r="F30" s="6">
        <v>5</v>
      </c>
      <c r="G30" s="6">
        <v>32</v>
      </c>
      <c r="H30" s="8">
        <v>200</v>
      </c>
      <c r="I30" s="8">
        <v>6400</v>
      </c>
      <c r="J30" s="9">
        <f t="shared" si="0"/>
        <v>13.513513513513514</v>
      </c>
    </row>
    <row r="31" spans="2:10" x14ac:dyDescent="0.3">
      <c r="B31" s="6" t="s">
        <v>56</v>
      </c>
      <c r="C31" s="6" t="s">
        <v>57</v>
      </c>
      <c r="D31" s="6">
        <v>50</v>
      </c>
      <c r="E31" s="6">
        <v>22</v>
      </c>
      <c r="F31" s="6">
        <v>11</v>
      </c>
      <c r="G31" s="6">
        <v>61</v>
      </c>
      <c r="H31" s="8">
        <v>80</v>
      </c>
      <c r="I31" s="8">
        <v>4880</v>
      </c>
      <c r="J31" s="9">
        <f t="shared" si="0"/>
        <v>15.277777777777779</v>
      </c>
    </row>
    <row r="32" spans="2:10" x14ac:dyDescent="0.3">
      <c r="B32" s="6" t="s">
        <v>58</v>
      </c>
      <c r="C32" s="6" t="s">
        <v>59</v>
      </c>
      <c r="D32" s="6">
        <v>45</v>
      </c>
      <c r="E32" s="6">
        <v>20</v>
      </c>
      <c r="F32" s="6">
        <v>8</v>
      </c>
      <c r="G32" s="6">
        <v>57</v>
      </c>
      <c r="H32" s="8">
        <v>120</v>
      </c>
      <c r="I32" s="8">
        <v>6840</v>
      </c>
      <c r="J32" s="9">
        <f t="shared" si="0"/>
        <v>12.307692307692308</v>
      </c>
    </row>
    <row r="33" spans="2:10" x14ac:dyDescent="0.3">
      <c r="B33" s="6" t="s">
        <v>60</v>
      </c>
      <c r="C33" s="6" t="s">
        <v>61</v>
      </c>
      <c r="D33" s="6">
        <v>60</v>
      </c>
      <c r="E33" s="6">
        <v>25</v>
      </c>
      <c r="F33" s="6">
        <v>12</v>
      </c>
      <c r="G33" s="6">
        <v>73</v>
      </c>
      <c r="H33" s="8">
        <v>60</v>
      </c>
      <c r="I33" s="8">
        <v>4380</v>
      </c>
      <c r="J33" s="9">
        <f t="shared" si="0"/>
        <v>14.117647058823529</v>
      </c>
    </row>
    <row r="34" spans="2:10" x14ac:dyDescent="0.3">
      <c r="B34" s="6" t="s">
        <v>62</v>
      </c>
      <c r="C34" s="6" t="s">
        <v>63</v>
      </c>
      <c r="D34" s="6">
        <v>35</v>
      </c>
      <c r="E34" s="6">
        <v>15</v>
      </c>
      <c r="F34" s="6">
        <v>6</v>
      </c>
      <c r="G34" s="6">
        <v>44</v>
      </c>
      <c r="H34" s="8">
        <v>100</v>
      </c>
      <c r="I34" s="8">
        <v>4400</v>
      </c>
      <c r="J34" s="9">
        <f t="shared" si="0"/>
        <v>12</v>
      </c>
    </row>
    <row r="35" spans="2:10" x14ac:dyDescent="0.3">
      <c r="B35" s="6" t="s">
        <v>64</v>
      </c>
      <c r="C35" s="6" t="s">
        <v>65</v>
      </c>
      <c r="D35" s="6">
        <v>40</v>
      </c>
      <c r="E35" s="6">
        <v>18</v>
      </c>
      <c r="F35" s="6">
        <v>9</v>
      </c>
      <c r="G35" s="6">
        <v>49</v>
      </c>
      <c r="H35" s="8">
        <v>80</v>
      </c>
      <c r="I35" s="8">
        <v>3920</v>
      </c>
      <c r="J35" s="9">
        <f t="shared" si="0"/>
        <v>15.517241379310345</v>
      </c>
    </row>
    <row r="36" spans="2:10" x14ac:dyDescent="0.3">
      <c r="B36" s="6" t="s">
        <v>66</v>
      </c>
      <c r="C36" s="6" t="s">
        <v>67</v>
      </c>
      <c r="D36" s="6">
        <v>30</v>
      </c>
      <c r="E36" s="6">
        <v>12</v>
      </c>
      <c r="F36" s="6">
        <v>4</v>
      </c>
      <c r="G36" s="6">
        <v>34</v>
      </c>
      <c r="H36" s="8">
        <v>50</v>
      </c>
      <c r="I36" s="8">
        <v>1700</v>
      </c>
      <c r="J36" s="9">
        <f t="shared" si="0"/>
        <v>9.5238095238095237</v>
      </c>
    </row>
    <row r="37" spans="2:10" x14ac:dyDescent="0.3">
      <c r="B37" s="6" t="s">
        <v>68</v>
      </c>
      <c r="C37" s="6" t="s">
        <v>69</v>
      </c>
      <c r="D37" s="6">
        <v>25</v>
      </c>
      <c r="E37" s="6">
        <v>10</v>
      </c>
      <c r="F37" s="6">
        <v>3</v>
      </c>
      <c r="G37" s="6">
        <v>28</v>
      </c>
      <c r="H37" s="8">
        <v>30</v>
      </c>
      <c r="I37" s="8">
        <v>840</v>
      </c>
      <c r="J37" s="9">
        <f t="shared" si="0"/>
        <v>8.5714285714285712</v>
      </c>
    </row>
    <row r="38" spans="2:10" x14ac:dyDescent="0.3">
      <c r="B38" s="6" t="s">
        <v>70</v>
      </c>
      <c r="C38" s="6" t="s">
        <v>71</v>
      </c>
      <c r="D38" s="6">
        <v>50</v>
      </c>
      <c r="E38" s="6">
        <v>20</v>
      </c>
      <c r="F38" s="6">
        <v>8</v>
      </c>
      <c r="G38" s="6">
        <v>58</v>
      </c>
      <c r="H38" s="8">
        <v>10</v>
      </c>
      <c r="I38" s="8">
        <v>580</v>
      </c>
      <c r="J38" s="9">
        <f t="shared" si="0"/>
        <v>11.428571428571429</v>
      </c>
    </row>
    <row r="39" spans="2:10" x14ac:dyDescent="0.3">
      <c r="B39" s="6" t="s">
        <v>72</v>
      </c>
      <c r="C39" s="6" t="s">
        <v>73</v>
      </c>
      <c r="D39" s="6">
        <v>40</v>
      </c>
      <c r="E39" s="6">
        <v>15</v>
      </c>
      <c r="F39" s="6">
        <v>5</v>
      </c>
      <c r="G39" s="6">
        <v>50</v>
      </c>
      <c r="H39" s="8">
        <v>5</v>
      </c>
      <c r="I39" s="8">
        <v>250</v>
      </c>
      <c r="J39" s="9">
        <f t="shared" si="0"/>
        <v>9.0909090909090917</v>
      </c>
    </row>
    <row r="40" spans="2:10" x14ac:dyDescent="0.3">
      <c r="B40" s="6" t="s">
        <v>74</v>
      </c>
      <c r="C40" s="6" t="s">
        <v>75</v>
      </c>
      <c r="D40" s="6">
        <v>30</v>
      </c>
      <c r="E40" s="6">
        <v>12</v>
      </c>
      <c r="F40" s="6">
        <v>4</v>
      </c>
      <c r="G40" s="6">
        <v>34</v>
      </c>
      <c r="H40" s="8">
        <v>15</v>
      </c>
      <c r="I40" s="8">
        <v>510</v>
      </c>
      <c r="J40" s="9">
        <f t="shared" si="0"/>
        <v>9.5238095238095237</v>
      </c>
    </row>
    <row r="41" spans="2:10" x14ac:dyDescent="0.3">
      <c r="B41" s="6" t="s">
        <v>76</v>
      </c>
      <c r="C41" s="6" t="s">
        <v>77</v>
      </c>
      <c r="D41" s="6">
        <v>20</v>
      </c>
      <c r="E41" s="6">
        <v>8</v>
      </c>
      <c r="F41" s="6">
        <v>3</v>
      </c>
      <c r="G41" s="6">
        <v>23</v>
      </c>
      <c r="H41" s="8">
        <v>20</v>
      </c>
      <c r="I41" s="8">
        <v>460</v>
      </c>
      <c r="J41" s="9">
        <f t="shared" si="0"/>
        <v>10.714285714285714</v>
      </c>
    </row>
    <row r="42" spans="2:10" x14ac:dyDescent="0.3">
      <c r="B42" s="6" t="s">
        <v>78</v>
      </c>
      <c r="C42" s="6" t="s">
        <v>79</v>
      </c>
      <c r="D42" s="6">
        <v>15</v>
      </c>
      <c r="E42" s="6">
        <v>6</v>
      </c>
      <c r="F42" s="6">
        <v>2</v>
      </c>
      <c r="G42" s="6">
        <v>17</v>
      </c>
      <c r="H42" s="8">
        <v>50</v>
      </c>
      <c r="I42" s="8">
        <v>850</v>
      </c>
      <c r="J42" s="9">
        <f t="shared" si="0"/>
        <v>9.5238095238095237</v>
      </c>
    </row>
    <row r="43" spans="2:10" x14ac:dyDescent="0.3">
      <c r="B43" s="6" t="s">
        <v>80</v>
      </c>
      <c r="C43" s="6" t="s">
        <v>81</v>
      </c>
      <c r="D43" s="6">
        <v>25</v>
      </c>
      <c r="E43" s="6">
        <v>10</v>
      </c>
      <c r="F43" s="6">
        <v>4</v>
      </c>
      <c r="G43" s="6">
        <v>29</v>
      </c>
      <c r="H43" s="8">
        <v>5</v>
      </c>
      <c r="I43" s="8">
        <v>145</v>
      </c>
      <c r="J43" s="9">
        <f t="shared" si="0"/>
        <v>11.428571428571429</v>
      </c>
    </row>
    <row r="44" spans="2:10" x14ac:dyDescent="0.3">
      <c r="B44" s="6" t="s">
        <v>82</v>
      </c>
      <c r="C44" s="6" t="s">
        <v>83</v>
      </c>
      <c r="D44" s="6">
        <v>40</v>
      </c>
      <c r="E44" s="6">
        <v>18</v>
      </c>
      <c r="F44" s="6">
        <v>9</v>
      </c>
      <c r="G44" s="6">
        <v>49</v>
      </c>
      <c r="H44" s="8">
        <v>8</v>
      </c>
      <c r="I44" s="8">
        <v>392</v>
      </c>
      <c r="J44" s="9">
        <f t="shared" si="0"/>
        <v>15.517241379310345</v>
      </c>
    </row>
    <row r="45" spans="2:10" x14ac:dyDescent="0.3">
      <c r="B45" s="6" t="s">
        <v>84</v>
      </c>
      <c r="C45" s="6" t="s">
        <v>85</v>
      </c>
      <c r="D45" s="6">
        <v>30</v>
      </c>
      <c r="E45" s="6">
        <v>15</v>
      </c>
      <c r="F45" s="6">
        <v>6</v>
      </c>
      <c r="G45" s="6">
        <v>39</v>
      </c>
      <c r="H45" s="8">
        <v>20</v>
      </c>
      <c r="I45" s="8">
        <v>780</v>
      </c>
      <c r="J45" s="9">
        <f t="shared" si="0"/>
        <v>13.333333333333334</v>
      </c>
    </row>
    <row r="46" spans="2:10" x14ac:dyDescent="0.3">
      <c r="B46" s="6" t="s">
        <v>86</v>
      </c>
      <c r="C46" s="6" t="s">
        <v>87</v>
      </c>
      <c r="D46" s="6">
        <v>35</v>
      </c>
      <c r="E46" s="6">
        <v>12</v>
      </c>
      <c r="F46" s="6">
        <v>4</v>
      </c>
      <c r="G46" s="6">
        <v>31</v>
      </c>
      <c r="H46" s="8">
        <v>15</v>
      </c>
      <c r="I46" s="8">
        <v>465</v>
      </c>
      <c r="J46" s="9">
        <f t="shared" si="0"/>
        <v>8.5106382978723403</v>
      </c>
    </row>
    <row r="47" spans="2:10" x14ac:dyDescent="0.3">
      <c r="B47" s="6" t="s">
        <v>88</v>
      </c>
      <c r="C47" s="6" t="s">
        <v>89</v>
      </c>
      <c r="D47" s="6">
        <v>25</v>
      </c>
      <c r="E47" s="6">
        <v>8</v>
      </c>
      <c r="F47" s="6">
        <v>3</v>
      </c>
      <c r="G47" s="6">
        <v>28</v>
      </c>
      <c r="H47" s="8">
        <v>10</v>
      </c>
      <c r="I47" s="8">
        <v>280</v>
      </c>
      <c r="J47" s="9">
        <f t="shared" si="0"/>
        <v>9.0909090909090917</v>
      </c>
    </row>
    <row r="48" spans="2:10" x14ac:dyDescent="0.3">
      <c r="B48" s="6" t="s">
        <v>90</v>
      </c>
      <c r="C48" s="6" t="s">
        <v>91</v>
      </c>
      <c r="D48" s="6">
        <v>20</v>
      </c>
      <c r="E48" s="6">
        <v>10</v>
      </c>
      <c r="F48" s="6">
        <v>4</v>
      </c>
      <c r="G48" s="6">
        <v>24</v>
      </c>
      <c r="H48" s="8">
        <v>15</v>
      </c>
      <c r="I48" s="8">
        <v>360</v>
      </c>
      <c r="J48" s="9">
        <f t="shared" si="0"/>
        <v>13.333333333333334</v>
      </c>
    </row>
    <row r="49" spans="2:10" x14ac:dyDescent="0.3">
      <c r="B49" s="6" t="s">
        <v>92</v>
      </c>
      <c r="C49" s="6" t="s">
        <v>93</v>
      </c>
      <c r="D49" s="6">
        <v>30</v>
      </c>
      <c r="E49" s="6">
        <v>12</v>
      </c>
      <c r="F49" s="6">
        <v>5</v>
      </c>
      <c r="G49" s="6">
        <v>37</v>
      </c>
      <c r="H49" s="8">
        <v>20</v>
      </c>
      <c r="I49" s="8">
        <v>740</v>
      </c>
      <c r="J49" s="9">
        <f t="shared" si="0"/>
        <v>11.904761904761903</v>
      </c>
    </row>
    <row r="50" spans="2:10" x14ac:dyDescent="0.3">
      <c r="B50" s="6" t="s">
        <v>94</v>
      </c>
      <c r="C50" s="6" t="s">
        <v>95</v>
      </c>
      <c r="D50" s="6">
        <v>40</v>
      </c>
      <c r="E50" s="6">
        <v>18</v>
      </c>
      <c r="F50" s="6">
        <v>7</v>
      </c>
      <c r="G50" s="6">
        <v>51</v>
      </c>
      <c r="H50" s="8">
        <v>30</v>
      </c>
      <c r="I50" s="8">
        <v>1530</v>
      </c>
      <c r="J50" s="9">
        <f t="shared" si="0"/>
        <v>12.068965517241379</v>
      </c>
    </row>
    <row r="51" spans="2:10" x14ac:dyDescent="0.3">
      <c r="B51" s="6" t="s">
        <v>96</v>
      </c>
      <c r="C51" s="6" t="s">
        <v>97</v>
      </c>
      <c r="D51" s="6">
        <v>50</v>
      </c>
      <c r="E51" s="6">
        <v>20</v>
      </c>
      <c r="F51" s="6">
        <v>9</v>
      </c>
      <c r="G51" s="6">
        <v>61</v>
      </c>
      <c r="H51" s="8">
        <v>8</v>
      </c>
      <c r="I51" s="8">
        <v>488</v>
      </c>
      <c r="J51" s="9">
        <f t="shared" si="0"/>
        <v>12.857142857142856</v>
      </c>
    </row>
    <row r="52" spans="2:10" x14ac:dyDescent="0.3">
      <c r="B52" s="6" t="s">
        <v>98</v>
      </c>
      <c r="C52" s="6" t="s">
        <v>99</v>
      </c>
      <c r="D52" s="6">
        <v>25</v>
      </c>
      <c r="E52" s="6">
        <v>10</v>
      </c>
      <c r="F52" s="6">
        <v>3</v>
      </c>
      <c r="G52" s="6">
        <v>28</v>
      </c>
      <c r="H52" s="8">
        <v>150</v>
      </c>
      <c r="I52" s="8">
        <v>4200</v>
      </c>
      <c r="J52" s="9">
        <f t="shared" si="0"/>
        <v>8.5714285714285712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B092A-2F4C-4B46-9D75-CFE9F7F7D886}">
  <dimension ref="A1:B7"/>
  <sheetViews>
    <sheetView workbookViewId="0">
      <selection activeCell="G14" sqref="G14"/>
    </sheetView>
  </sheetViews>
  <sheetFormatPr defaultRowHeight="14.4" x14ac:dyDescent="0.3"/>
  <cols>
    <col min="1" max="1" width="18.77734375" bestFit="1" customWidth="1"/>
    <col min="2" max="2" width="25.6640625" bestFit="1" customWidth="1"/>
    <col min="3" max="3" width="26.6640625" bestFit="1" customWidth="1"/>
  </cols>
  <sheetData>
    <row r="1" spans="1:2" x14ac:dyDescent="0.3">
      <c r="A1" s="10" t="s">
        <v>5</v>
      </c>
      <c r="B1" t="s">
        <v>106</v>
      </c>
    </row>
    <row r="3" spans="1:2" x14ac:dyDescent="0.3">
      <c r="A3" s="10" t="s">
        <v>103</v>
      </c>
      <c r="B3" t="s">
        <v>105</v>
      </c>
    </row>
    <row r="4" spans="1:2" x14ac:dyDescent="0.3">
      <c r="A4" s="11" t="s">
        <v>35</v>
      </c>
      <c r="B4">
        <v>15</v>
      </c>
    </row>
    <row r="5" spans="1:2" x14ac:dyDescent="0.3">
      <c r="A5" s="11" t="s">
        <v>13</v>
      </c>
      <c r="B5">
        <v>15</v>
      </c>
    </row>
    <row r="6" spans="1:2" x14ac:dyDescent="0.3">
      <c r="A6" s="11" t="s">
        <v>17</v>
      </c>
      <c r="B6">
        <v>20</v>
      </c>
    </row>
    <row r="7" spans="1:2" x14ac:dyDescent="0.3">
      <c r="A7" s="11" t="s">
        <v>104</v>
      </c>
      <c r="B7">
        <v>50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D0C8-5349-4CDF-9E25-87935F6F4A1A}">
  <dimension ref="A3:C50"/>
  <sheetViews>
    <sheetView workbookViewId="0">
      <selection activeCell="I22" sqref="I22"/>
    </sheetView>
  </sheetViews>
  <sheetFormatPr defaultRowHeight="14.4" x14ac:dyDescent="0.3"/>
  <cols>
    <col min="1" max="1" width="23.44140625" bestFit="1" customWidth="1"/>
    <col min="2" max="2" width="23.109375" bestFit="1" customWidth="1"/>
    <col min="3" max="3" width="25.6640625" bestFit="1" customWidth="1"/>
  </cols>
  <sheetData>
    <row r="3" spans="1:3" x14ac:dyDescent="0.3">
      <c r="A3" s="10" t="s">
        <v>103</v>
      </c>
      <c r="B3" t="s">
        <v>107</v>
      </c>
      <c r="C3" t="s">
        <v>105</v>
      </c>
    </row>
    <row r="4" spans="1:3" x14ac:dyDescent="0.3">
      <c r="A4" s="11" t="s">
        <v>89</v>
      </c>
      <c r="B4">
        <v>8</v>
      </c>
      <c r="C4">
        <v>3</v>
      </c>
    </row>
    <row r="5" spans="1:3" x14ac:dyDescent="0.3">
      <c r="A5" s="11" t="s">
        <v>75</v>
      </c>
      <c r="B5">
        <v>12</v>
      </c>
      <c r="C5">
        <v>4</v>
      </c>
    </row>
    <row r="6" spans="1:3" x14ac:dyDescent="0.3">
      <c r="A6" s="11" t="s">
        <v>53</v>
      </c>
      <c r="B6">
        <v>15</v>
      </c>
      <c r="C6">
        <v>7</v>
      </c>
    </row>
    <row r="7" spans="1:3" x14ac:dyDescent="0.3">
      <c r="A7" s="11" t="s">
        <v>67</v>
      </c>
      <c r="B7">
        <v>12</v>
      </c>
      <c r="C7">
        <v>4</v>
      </c>
    </row>
    <row r="8" spans="1:3" x14ac:dyDescent="0.3">
      <c r="A8" s="11" t="s">
        <v>29</v>
      </c>
      <c r="B8">
        <v>8</v>
      </c>
      <c r="C8">
        <v>3</v>
      </c>
    </row>
    <row r="9" spans="1:3" x14ac:dyDescent="0.3">
      <c r="A9" s="11" t="s">
        <v>31</v>
      </c>
      <c r="B9">
        <v>15</v>
      </c>
      <c r="C9">
        <v>7</v>
      </c>
    </row>
    <row r="10" spans="1:3" x14ac:dyDescent="0.3">
      <c r="A10" s="11" t="s">
        <v>35</v>
      </c>
      <c r="B10">
        <v>30</v>
      </c>
      <c r="C10">
        <v>15</v>
      </c>
    </row>
    <row r="11" spans="1:3" x14ac:dyDescent="0.3">
      <c r="A11" s="11" t="s">
        <v>79</v>
      </c>
      <c r="B11">
        <v>6</v>
      </c>
      <c r="C11">
        <v>2</v>
      </c>
    </row>
    <row r="12" spans="1:3" x14ac:dyDescent="0.3">
      <c r="A12" s="11" t="s">
        <v>23</v>
      </c>
      <c r="B12">
        <v>12</v>
      </c>
      <c r="C12">
        <v>5</v>
      </c>
    </row>
    <row r="13" spans="1:3" x14ac:dyDescent="0.3">
      <c r="A13" s="11" t="s">
        <v>47</v>
      </c>
      <c r="B13">
        <v>6</v>
      </c>
      <c r="C13">
        <v>2</v>
      </c>
    </row>
    <row r="14" spans="1:3" x14ac:dyDescent="0.3">
      <c r="A14" s="11" t="s">
        <v>99</v>
      </c>
      <c r="B14">
        <v>10</v>
      </c>
      <c r="C14">
        <v>3</v>
      </c>
    </row>
    <row r="15" spans="1:3" x14ac:dyDescent="0.3">
      <c r="A15" s="11" t="s">
        <v>45</v>
      </c>
      <c r="B15">
        <v>8</v>
      </c>
      <c r="C15">
        <v>3</v>
      </c>
    </row>
    <row r="16" spans="1:3" x14ac:dyDescent="0.3">
      <c r="A16" s="11" t="s">
        <v>41</v>
      </c>
      <c r="B16">
        <v>10</v>
      </c>
      <c r="C16">
        <v>4</v>
      </c>
    </row>
    <row r="17" spans="1:3" x14ac:dyDescent="0.3">
      <c r="A17" s="11" t="s">
        <v>49</v>
      </c>
      <c r="B17">
        <v>10</v>
      </c>
      <c r="C17">
        <v>4</v>
      </c>
    </row>
    <row r="18" spans="1:3" x14ac:dyDescent="0.3">
      <c r="A18" s="11" t="s">
        <v>43</v>
      </c>
      <c r="B18">
        <v>12</v>
      </c>
      <c r="C18">
        <v>6</v>
      </c>
    </row>
    <row r="19" spans="1:3" x14ac:dyDescent="0.3">
      <c r="A19" s="11" t="s">
        <v>51</v>
      </c>
      <c r="B19">
        <v>18</v>
      </c>
      <c r="C19">
        <v>9</v>
      </c>
    </row>
    <row r="20" spans="1:3" x14ac:dyDescent="0.3">
      <c r="A20" s="11" t="s">
        <v>61</v>
      </c>
      <c r="B20">
        <v>25</v>
      </c>
      <c r="C20">
        <v>12</v>
      </c>
    </row>
    <row r="21" spans="1:3" x14ac:dyDescent="0.3">
      <c r="A21" s="11" t="s">
        <v>15</v>
      </c>
      <c r="B21">
        <v>10</v>
      </c>
      <c r="C21">
        <v>3</v>
      </c>
    </row>
    <row r="22" spans="1:3" x14ac:dyDescent="0.3">
      <c r="A22" s="11" t="s">
        <v>13</v>
      </c>
      <c r="B22">
        <v>25</v>
      </c>
      <c r="C22">
        <v>15</v>
      </c>
    </row>
    <row r="23" spans="1:3" x14ac:dyDescent="0.3">
      <c r="A23" s="11" t="s">
        <v>83</v>
      </c>
      <c r="B23">
        <v>18</v>
      </c>
      <c r="C23">
        <v>9</v>
      </c>
    </row>
    <row r="24" spans="1:3" x14ac:dyDescent="0.3">
      <c r="A24" s="11" t="s">
        <v>9</v>
      </c>
      <c r="B24">
        <v>20</v>
      </c>
      <c r="C24">
        <v>10</v>
      </c>
    </row>
    <row r="25" spans="1:3" x14ac:dyDescent="0.3">
      <c r="A25" s="11" t="s">
        <v>85</v>
      </c>
      <c r="B25">
        <v>15</v>
      </c>
      <c r="C25">
        <v>6</v>
      </c>
    </row>
    <row r="26" spans="1:3" x14ac:dyDescent="0.3">
      <c r="A26" s="11" t="s">
        <v>93</v>
      </c>
      <c r="B26">
        <v>12</v>
      </c>
      <c r="C26">
        <v>5</v>
      </c>
    </row>
    <row r="27" spans="1:3" x14ac:dyDescent="0.3">
      <c r="A27" s="11" t="s">
        <v>11</v>
      </c>
      <c r="B27">
        <v>15</v>
      </c>
      <c r="C27">
        <v>5</v>
      </c>
    </row>
    <row r="28" spans="1:3" x14ac:dyDescent="0.3">
      <c r="A28" s="11" t="s">
        <v>69</v>
      </c>
      <c r="B28">
        <v>10</v>
      </c>
      <c r="C28">
        <v>3</v>
      </c>
    </row>
    <row r="29" spans="1:3" x14ac:dyDescent="0.3">
      <c r="A29" s="11" t="s">
        <v>55</v>
      </c>
      <c r="B29">
        <v>12</v>
      </c>
      <c r="C29">
        <v>5</v>
      </c>
    </row>
    <row r="30" spans="1:3" x14ac:dyDescent="0.3">
      <c r="A30" s="11" t="s">
        <v>71</v>
      </c>
      <c r="B30">
        <v>20</v>
      </c>
      <c r="C30">
        <v>8</v>
      </c>
    </row>
    <row r="31" spans="1:3" x14ac:dyDescent="0.3">
      <c r="A31" s="11" t="s">
        <v>65</v>
      </c>
      <c r="B31">
        <v>18</v>
      </c>
      <c r="C31">
        <v>9</v>
      </c>
    </row>
    <row r="32" spans="1:3" x14ac:dyDescent="0.3">
      <c r="A32" s="11" t="s">
        <v>37</v>
      </c>
      <c r="B32">
        <v>20</v>
      </c>
      <c r="C32">
        <v>8</v>
      </c>
    </row>
    <row r="33" spans="1:3" x14ac:dyDescent="0.3">
      <c r="A33" s="11" t="s">
        <v>63</v>
      </c>
      <c r="B33">
        <v>15</v>
      </c>
      <c r="C33">
        <v>6</v>
      </c>
    </row>
    <row r="34" spans="1:3" x14ac:dyDescent="0.3">
      <c r="A34" s="11" t="s">
        <v>81</v>
      </c>
      <c r="B34">
        <v>10</v>
      </c>
      <c r="C34">
        <v>4</v>
      </c>
    </row>
    <row r="35" spans="1:3" x14ac:dyDescent="0.3">
      <c r="A35" s="11" t="s">
        <v>57</v>
      </c>
      <c r="B35">
        <v>22</v>
      </c>
      <c r="C35">
        <v>11</v>
      </c>
    </row>
    <row r="36" spans="1:3" x14ac:dyDescent="0.3">
      <c r="A36" s="11" t="s">
        <v>21</v>
      </c>
      <c r="B36">
        <v>22</v>
      </c>
      <c r="C36">
        <v>12</v>
      </c>
    </row>
    <row r="37" spans="1:3" x14ac:dyDescent="0.3">
      <c r="A37" s="11" t="s">
        <v>17</v>
      </c>
      <c r="B37">
        <v>30</v>
      </c>
      <c r="C37">
        <v>20</v>
      </c>
    </row>
    <row r="38" spans="1:3" x14ac:dyDescent="0.3">
      <c r="A38" s="11" t="s">
        <v>59</v>
      </c>
      <c r="B38">
        <v>20</v>
      </c>
      <c r="C38">
        <v>8</v>
      </c>
    </row>
    <row r="39" spans="1:3" x14ac:dyDescent="0.3">
      <c r="A39" s="11" t="s">
        <v>19</v>
      </c>
      <c r="B39">
        <v>18</v>
      </c>
      <c r="C39">
        <v>8</v>
      </c>
    </row>
    <row r="40" spans="1:3" x14ac:dyDescent="0.3">
      <c r="A40" s="11" t="s">
        <v>73</v>
      </c>
      <c r="B40">
        <v>15</v>
      </c>
      <c r="C40">
        <v>5</v>
      </c>
    </row>
    <row r="41" spans="1:3" x14ac:dyDescent="0.3">
      <c r="A41" s="11" t="s">
        <v>33</v>
      </c>
      <c r="B41">
        <v>25</v>
      </c>
      <c r="C41">
        <v>12</v>
      </c>
    </row>
    <row r="42" spans="1:3" x14ac:dyDescent="0.3">
      <c r="A42" s="11" t="s">
        <v>87</v>
      </c>
      <c r="B42">
        <v>12</v>
      </c>
      <c r="C42">
        <v>4</v>
      </c>
    </row>
    <row r="43" spans="1:3" x14ac:dyDescent="0.3">
      <c r="A43" s="11" t="s">
        <v>91</v>
      </c>
      <c r="B43">
        <v>10</v>
      </c>
      <c r="C43">
        <v>4</v>
      </c>
    </row>
    <row r="44" spans="1:3" x14ac:dyDescent="0.3">
      <c r="A44" s="11" t="s">
        <v>97</v>
      </c>
      <c r="B44">
        <v>20</v>
      </c>
      <c r="C44">
        <v>9</v>
      </c>
    </row>
    <row r="45" spans="1:3" x14ac:dyDescent="0.3">
      <c r="A45" s="11" t="s">
        <v>27</v>
      </c>
      <c r="B45">
        <v>20</v>
      </c>
      <c r="C45">
        <v>10</v>
      </c>
    </row>
    <row r="46" spans="1:3" x14ac:dyDescent="0.3">
      <c r="A46" s="11" t="s">
        <v>77</v>
      </c>
      <c r="B46">
        <v>8</v>
      </c>
      <c r="C46">
        <v>3</v>
      </c>
    </row>
    <row r="47" spans="1:3" x14ac:dyDescent="0.3">
      <c r="A47" s="11" t="s">
        <v>95</v>
      </c>
      <c r="B47">
        <v>18</v>
      </c>
      <c r="C47">
        <v>7</v>
      </c>
    </row>
    <row r="48" spans="1:3" x14ac:dyDescent="0.3">
      <c r="A48" s="11" t="s">
        <v>25</v>
      </c>
      <c r="B48">
        <v>15</v>
      </c>
      <c r="C48">
        <v>7</v>
      </c>
    </row>
    <row r="49" spans="1:3" x14ac:dyDescent="0.3">
      <c r="A49" s="11" t="s">
        <v>39</v>
      </c>
      <c r="B49">
        <v>15</v>
      </c>
      <c r="C49">
        <v>5</v>
      </c>
    </row>
    <row r="50" spans="1:3" x14ac:dyDescent="0.3">
      <c r="A50" s="11" t="s">
        <v>104</v>
      </c>
      <c r="B50">
        <v>707</v>
      </c>
      <c r="C50">
        <v>314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FCB41-99B9-4481-830B-440F3B52660C}">
  <dimension ref="A3:D50"/>
  <sheetViews>
    <sheetView zoomScale="57" workbookViewId="0">
      <selection activeCell="C4" sqref="C4"/>
    </sheetView>
  </sheetViews>
  <sheetFormatPr defaultRowHeight="14.4" x14ac:dyDescent="0.3"/>
  <cols>
    <col min="1" max="1" width="27" bestFit="1" customWidth="1"/>
    <col min="2" max="2" width="38.109375" bestFit="1" customWidth="1"/>
    <col min="3" max="3" width="41.44140625" bestFit="1" customWidth="1"/>
    <col min="4" max="4" width="33.21875" bestFit="1" customWidth="1"/>
  </cols>
  <sheetData>
    <row r="3" spans="1:4" x14ac:dyDescent="0.3">
      <c r="A3" s="10" t="s">
        <v>103</v>
      </c>
      <c r="B3" t="s">
        <v>109</v>
      </c>
      <c r="C3" t="s">
        <v>108</v>
      </c>
      <c r="D3" t="s">
        <v>105</v>
      </c>
    </row>
    <row r="4" spans="1:4" x14ac:dyDescent="0.3">
      <c r="A4" s="11" t="s">
        <v>89</v>
      </c>
      <c r="B4" s="12">
        <v>10</v>
      </c>
      <c r="C4">
        <v>3</v>
      </c>
      <c r="D4">
        <v>3</v>
      </c>
    </row>
    <row r="5" spans="1:4" x14ac:dyDescent="0.3">
      <c r="A5" s="11" t="s">
        <v>75</v>
      </c>
      <c r="B5" s="12">
        <v>15</v>
      </c>
      <c r="C5">
        <v>9</v>
      </c>
      <c r="D5">
        <v>4</v>
      </c>
    </row>
    <row r="6" spans="1:4" x14ac:dyDescent="0.3">
      <c r="A6" s="11" t="s">
        <v>53</v>
      </c>
      <c r="B6" s="12">
        <v>350</v>
      </c>
      <c r="C6">
        <v>39</v>
      </c>
      <c r="D6">
        <v>7</v>
      </c>
    </row>
    <row r="7" spans="1:4" x14ac:dyDescent="0.3">
      <c r="A7" s="11" t="s">
        <v>67</v>
      </c>
      <c r="B7" s="12">
        <v>50</v>
      </c>
      <c r="C7">
        <v>20</v>
      </c>
      <c r="D7">
        <v>4</v>
      </c>
    </row>
    <row r="8" spans="1:4" x14ac:dyDescent="0.3">
      <c r="A8" s="11" t="s">
        <v>29</v>
      </c>
      <c r="B8" s="12">
        <v>150</v>
      </c>
      <c r="C8">
        <v>28</v>
      </c>
      <c r="D8">
        <v>3</v>
      </c>
    </row>
    <row r="9" spans="1:4" x14ac:dyDescent="0.3">
      <c r="A9" s="11" t="s">
        <v>31</v>
      </c>
      <c r="B9" s="12">
        <v>30</v>
      </c>
      <c r="C9">
        <v>16</v>
      </c>
      <c r="D9">
        <v>7</v>
      </c>
    </row>
    <row r="10" spans="1:4" x14ac:dyDescent="0.3">
      <c r="A10" s="11" t="s">
        <v>35</v>
      </c>
      <c r="B10" s="12">
        <v>10</v>
      </c>
      <c r="C10">
        <v>12</v>
      </c>
      <c r="D10">
        <v>15</v>
      </c>
    </row>
    <row r="11" spans="1:4" x14ac:dyDescent="0.3">
      <c r="A11" s="11" t="s">
        <v>79</v>
      </c>
      <c r="B11" s="12">
        <v>50</v>
      </c>
      <c r="C11">
        <v>15</v>
      </c>
      <c r="D11">
        <v>2</v>
      </c>
    </row>
    <row r="12" spans="1:4" x14ac:dyDescent="0.3">
      <c r="A12" s="11" t="s">
        <v>23</v>
      </c>
      <c r="B12" s="12">
        <v>200</v>
      </c>
      <c r="C12">
        <v>35</v>
      </c>
      <c r="D12">
        <v>5</v>
      </c>
    </row>
    <row r="13" spans="1:4" x14ac:dyDescent="0.3">
      <c r="A13" s="11" t="s">
        <v>47</v>
      </c>
      <c r="B13" s="12">
        <v>200</v>
      </c>
      <c r="C13">
        <v>29</v>
      </c>
      <c r="D13">
        <v>2</v>
      </c>
    </row>
    <row r="14" spans="1:4" x14ac:dyDescent="0.3">
      <c r="A14" s="11" t="s">
        <v>99</v>
      </c>
      <c r="B14" s="12">
        <v>150</v>
      </c>
      <c r="C14">
        <v>31</v>
      </c>
      <c r="D14">
        <v>3</v>
      </c>
    </row>
    <row r="15" spans="1:4" x14ac:dyDescent="0.3">
      <c r="A15" s="11" t="s">
        <v>45</v>
      </c>
      <c r="B15" s="12">
        <v>120</v>
      </c>
      <c r="C15">
        <v>23</v>
      </c>
      <c r="D15">
        <v>3</v>
      </c>
    </row>
    <row r="16" spans="1:4" x14ac:dyDescent="0.3">
      <c r="A16" s="11" t="s">
        <v>41</v>
      </c>
      <c r="B16" s="12">
        <v>100</v>
      </c>
      <c r="C16">
        <v>24</v>
      </c>
      <c r="D16">
        <v>4</v>
      </c>
    </row>
    <row r="17" spans="1:4" x14ac:dyDescent="0.3">
      <c r="A17" s="11" t="s">
        <v>49</v>
      </c>
      <c r="B17" s="12">
        <v>400</v>
      </c>
      <c r="C17">
        <v>38</v>
      </c>
      <c r="D17">
        <v>4</v>
      </c>
    </row>
    <row r="18" spans="1:4" x14ac:dyDescent="0.3">
      <c r="A18" s="11" t="s">
        <v>43</v>
      </c>
      <c r="B18" s="12">
        <v>80</v>
      </c>
      <c r="C18">
        <v>22</v>
      </c>
      <c r="D18">
        <v>6</v>
      </c>
    </row>
    <row r="19" spans="1:4" x14ac:dyDescent="0.3">
      <c r="A19" s="11" t="s">
        <v>51</v>
      </c>
      <c r="B19" s="12">
        <v>600</v>
      </c>
      <c r="C19">
        <v>41</v>
      </c>
      <c r="D19">
        <v>9</v>
      </c>
    </row>
    <row r="20" spans="1:4" x14ac:dyDescent="0.3">
      <c r="A20" s="11" t="s">
        <v>61</v>
      </c>
      <c r="B20" s="12">
        <v>60</v>
      </c>
      <c r="C20">
        <v>32</v>
      </c>
      <c r="D20">
        <v>12</v>
      </c>
    </row>
    <row r="21" spans="1:4" x14ac:dyDescent="0.3">
      <c r="A21" s="11" t="s">
        <v>15</v>
      </c>
      <c r="B21" s="12">
        <v>100</v>
      </c>
      <c r="C21">
        <v>27</v>
      </c>
      <c r="D21">
        <v>3</v>
      </c>
    </row>
    <row r="22" spans="1:4" x14ac:dyDescent="0.3">
      <c r="A22" s="11" t="s">
        <v>13</v>
      </c>
      <c r="B22" s="12">
        <v>50</v>
      </c>
      <c r="C22">
        <v>26</v>
      </c>
      <c r="D22">
        <v>15</v>
      </c>
    </row>
    <row r="23" spans="1:4" x14ac:dyDescent="0.3">
      <c r="A23" s="11" t="s">
        <v>83</v>
      </c>
      <c r="B23" s="12">
        <v>8</v>
      </c>
      <c r="C23">
        <v>5</v>
      </c>
      <c r="D23">
        <v>9</v>
      </c>
    </row>
    <row r="24" spans="1:4" x14ac:dyDescent="0.3">
      <c r="A24" s="11" t="s">
        <v>9</v>
      </c>
      <c r="B24" s="12">
        <v>1200</v>
      </c>
      <c r="C24">
        <v>43</v>
      </c>
      <c r="D24">
        <v>10</v>
      </c>
    </row>
    <row r="25" spans="1:4" x14ac:dyDescent="0.3">
      <c r="A25" s="11" t="s">
        <v>85</v>
      </c>
      <c r="B25" s="12">
        <v>20</v>
      </c>
      <c r="C25">
        <v>13</v>
      </c>
      <c r="D25">
        <v>6</v>
      </c>
    </row>
    <row r="26" spans="1:4" x14ac:dyDescent="0.3">
      <c r="A26" s="11" t="s">
        <v>93</v>
      </c>
      <c r="B26" s="12">
        <v>20</v>
      </c>
      <c r="C26">
        <v>11</v>
      </c>
      <c r="D26">
        <v>5</v>
      </c>
    </row>
    <row r="27" spans="1:4" x14ac:dyDescent="0.3">
      <c r="A27" s="11" t="s">
        <v>11</v>
      </c>
      <c r="B27" s="12">
        <v>500</v>
      </c>
      <c r="C27">
        <v>40</v>
      </c>
      <c r="D27">
        <v>5</v>
      </c>
    </row>
    <row r="28" spans="1:4" x14ac:dyDescent="0.3">
      <c r="A28" s="11" t="s">
        <v>69</v>
      </c>
      <c r="B28" s="12">
        <v>30</v>
      </c>
      <c r="C28">
        <v>14</v>
      </c>
      <c r="D28">
        <v>3</v>
      </c>
    </row>
    <row r="29" spans="1:4" x14ac:dyDescent="0.3">
      <c r="A29" s="11" t="s">
        <v>55</v>
      </c>
      <c r="B29" s="12">
        <v>200</v>
      </c>
      <c r="C29">
        <v>35</v>
      </c>
      <c r="D29">
        <v>5</v>
      </c>
    </row>
    <row r="30" spans="1:4" x14ac:dyDescent="0.3">
      <c r="A30" s="11" t="s">
        <v>71</v>
      </c>
      <c r="B30" s="12">
        <v>10</v>
      </c>
      <c r="C30">
        <v>10</v>
      </c>
      <c r="D30">
        <v>8</v>
      </c>
    </row>
    <row r="31" spans="1:4" x14ac:dyDescent="0.3">
      <c r="A31" s="11" t="s">
        <v>65</v>
      </c>
      <c r="B31" s="12">
        <v>80</v>
      </c>
      <c r="C31">
        <v>30</v>
      </c>
      <c r="D31">
        <v>9</v>
      </c>
    </row>
    <row r="32" spans="1:4" x14ac:dyDescent="0.3">
      <c r="A32" s="11" t="s">
        <v>37</v>
      </c>
      <c r="B32" s="12">
        <v>25</v>
      </c>
      <c r="C32">
        <v>18</v>
      </c>
      <c r="D32">
        <v>8</v>
      </c>
    </row>
    <row r="33" spans="1:4" x14ac:dyDescent="0.3">
      <c r="A33" s="11" t="s">
        <v>63</v>
      </c>
      <c r="B33" s="12">
        <v>100</v>
      </c>
      <c r="C33">
        <v>33</v>
      </c>
      <c r="D33">
        <v>6</v>
      </c>
    </row>
    <row r="34" spans="1:4" x14ac:dyDescent="0.3">
      <c r="A34" s="11" t="s">
        <v>81</v>
      </c>
      <c r="B34" s="12">
        <v>5</v>
      </c>
      <c r="C34">
        <v>1</v>
      </c>
      <c r="D34">
        <v>4</v>
      </c>
    </row>
    <row r="35" spans="1:4" x14ac:dyDescent="0.3">
      <c r="A35" s="11" t="s">
        <v>57</v>
      </c>
      <c r="B35" s="12">
        <v>80</v>
      </c>
      <c r="C35">
        <v>34</v>
      </c>
      <c r="D35">
        <v>11</v>
      </c>
    </row>
    <row r="36" spans="1:4" x14ac:dyDescent="0.3">
      <c r="A36" s="11" t="s">
        <v>21</v>
      </c>
      <c r="B36" s="12">
        <v>150</v>
      </c>
      <c r="C36">
        <v>37</v>
      </c>
      <c r="D36">
        <v>12</v>
      </c>
    </row>
    <row r="37" spans="1:4" x14ac:dyDescent="0.3">
      <c r="A37" s="11" t="s">
        <v>17</v>
      </c>
      <c r="B37" s="12">
        <v>900</v>
      </c>
      <c r="C37">
        <v>43</v>
      </c>
      <c r="D37">
        <v>20</v>
      </c>
    </row>
    <row r="38" spans="1:4" x14ac:dyDescent="0.3">
      <c r="A38" s="11" t="s">
        <v>59</v>
      </c>
      <c r="B38" s="12">
        <v>120</v>
      </c>
      <c r="C38">
        <v>36</v>
      </c>
      <c r="D38">
        <v>8</v>
      </c>
    </row>
    <row r="39" spans="1:4" x14ac:dyDescent="0.3">
      <c r="A39" s="11" t="s">
        <v>19</v>
      </c>
      <c r="B39" s="12">
        <v>700</v>
      </c>
      <c r="C39">
        <v>42</v>
      </c>
      <c r="D39">
        <v>8</v>
      </c>
    </row>
    <row r="40" spans="1:4" x14ac:dyDescent="0.3">
      <c r="A40" s="11" t="s">
        <v>73</v>
      </c>
      <c r="B40" s="12">
        <v>5</v>
      </c>
      <c r="C40">
        <v>2</v>
      </c>
      <c r="D40">
        <v>5</v>
      </c>
    </row>
    <row r="41" spans="1:4" x14ac:dyDescent="0.3">
      <c r="A41" s="11" t="s">
        <v>33</v>
      </c>
      <c r="B41" s="12">
        <v>20</v>
      </c>
      <c r="C41">
        <v>17</v>
      </c>
      <c r="D41">
        <v>12</v>
      </c>
    </row>
    <row r="42" spans="1:4" x14ac:dyDescent="0.3">
      <c r="A42" s="11" t="s">
        <v>87</v>
      </c>
      <c r="B42" s="12">
        <v>15</v>
      </c>
      <c r="C42">
        <v>7</v>
      </c>
      <c r="D42">
        <v>4</v>
      </c>
    </row>
    <row r="43" spans="1:4" x14ac:dyDescent="0.3">
      <c r="A43" s="11" t="s">
        <v>91</v>
      </c>
      <c r="B43" s="12">
        <v>15</v>
      </c>
      <c r="C43">
        <v>4</v>
      </c>
      <c r="D43">
        <v>4</v>
      </c>
    </row>
    <row r="44" spans="1:4" x14ac:dyDescent="0.3">
      <c r="A44" s="11" t="s">
        <v>97</v>
      </c>
      <c r="B44" s="12">
        <v>8</v>
      </c>
      <c r="C44">
        <v>8</v>
      </c>
      <c r="D44">
        <v>9</v>
      </c>
    </row>
    <row r="45" spans="1:4" x14ac:dyDescent="0.3">
      <c r="A45" s="11" t="s">
        <v>27</v>
      </c>
      <c r="B45" s="12">
        <v>60</v>
      </c>
      <c r="C45">
        <v>23</v>
      </c>
      <c r="D45">
        <v>10</v>
      </c>
    </row>
    <row r="46" spans="1:4" x14ac:dyDescent="0.3">
      <c r="A46" s="11" t="s">
        <v>77</v>
      </c>
      <c r="B46" s="12">
        <v>20</v>
      </c>
      <c r="C46">
        <v>6</v>
      </c>
      <c r="D46">
        <v>3</v>
      </c>
    </row>
    <row r="47" spans="1:4" x14ac:dyDescent="0.3">
      <c r="A47" s="11" t="s">
        <v>95</v>
      </c>
      <c r="B47" s="12">
        <v>30</v>
      </c>
      <c r="C47">
        <v>19</v>
      </c>
      <c r="D47">
        <v>7</v>
      </c>
    </row>
    <row r="48" spans="1:4" x14ac:dyDescent="0.3">
      <c r="A48" s="11" t="s">
        <v>25</v>
      </c>
      <c r="B48" s="12">
        <v>80</v>
      </c>
      <c r="C48">
        <v>25</v>
      </c>
      <c r="D48">
        <v>7</v>
      </c>
    </row>
    <row r="49" spans="1:4" x14ac:dyDescent="0.3">
      <c r="A49" s="11" t="s">
        <v>39</v>
      </c>
      <c r="B49" s="12">
        <v>40</v>
      </c>
      <c r="C49">
        <v>21</v>
      </c>
      <c r="D49">
        <v>5</v>
      </c>
    </row>
    <row r="50" spans="1:4" x14ac:dyDescent="0.3">
      <c r="A50" s="11" t="s">
        <v>104</v>
      </c>
      <c r="B50" s="12">
        <v>7166</v>
      </c>
      <c r="D50">
        <v>314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C09B-2F61-4B57-BE94-D36DEDAD8BDA}">
  <dimension ref="A1:B48"/>
  <sheetViews>
    <sheetView zoomScale="59" workbookViewId="0">
      <selection activeCell="B1" sqref="B1"/>
    </sheetView>
  </sheetViews>
  <sheetFormatPr defaultRowHeight="14.4" x14ac:dyDescent="0.3"/>
  <cols>
    <col min="1" max="1" width="23.44140625" bestFit="1" customWidth="1"/>
    <col min="2" max="2" width="25.6640625" bestFit="1" customWidth="1"/>
  </cols>
  <sheetData>
    <row r="1" spans="1:2" x14ac:dyDescent="0.3">
      <c r="A1" s="10" t="s">
        <v>103</v>
      </c>
      <c r="B1" t="s">
        <v>105</v>
      </c>
    </row>
    <row r="2" spans="1:2" x14ac:dyDescent="0.3">
      <c r="A2" s="11" t="s">
        <v>89</v>
      </c>
      <c r="B2">
        <v>3</v>
      </c>
    </row>
    <row r="3" spans="1:2" x14ac:dyDescent="0.3">
      <c r="A3" s="11" t="s">
        <v>75</v>
      </c>
      <c r="B3">
        <v>4</v>
      </c>
    </row>
    <row r="4" spans="1:2" x14ac:dyDescent="0.3">
      <c r="A4" s="11" t="s">
        <v>53</v>
      </c>
      <c r="B4">
        <v>7</v>
      </c>
    </row>
    <row r="5" spans="1:2" x14ac:dyDescent="0.3">
      <c r="A5" s="11" t="s">
        <v>67</v>
      </c>
      <c r="B5">
        <v>4</v>
      </c>
    </row>
    <row r="6" spans="1:2" x14ac:dyDescent="0.3">
      <c r="A6" s="11" t="s">
        <v>29</v>
      </c>
      <c r="B6">
        <v>3</v>
      </c>
    </row>
    <row r="7" spans="1:2" x14ac:dyDescent="0.3">
      <c r="A7" s="11" t="s">
        <v>31</v>
      </c>
      <c r="B7">
        <v>7</v>
      </c>
    </row>
    <row r="8" spans="1:2" x14ac:dyDescent="0.3">
      <c r="A8" s="11" t="s">
        <v>35</v>
      </c>
      <c r="B8">
        <v>15</v>
      </c>
    </row>
    <row r="9" spans="1:2" x14ac:dyDescent="0.3">
      <c r="A9" s="11" t="s">
        <v>79</v>
      </c>
      <c r="B9">
        <v>2</v>
      </c>
    </row>
    <row r="10" spans="1:2" x14ac:dyDescent="0.3">
      <c r="A10" s="11" t="s">
        <v>23</v>
      </c>
      <c r="B10">
        <v>5</v>
      </c>
    </row>
    <row r="11" spans="1:2" x14ac:dyDescent="0.3">
      <c r="A11" s="11" t="s">
        <v>47</v>
      </c>
      <c r="B11">
        <v>2</v>
      </c>
    </row>
    <row r="12" spans="1:2" x14ac:dyDescent="0.3">
      <c r="A12" s="11" t="s">
        <v>99</v>
      </c>
      <c r="B12">
        <v>3</v>
      </c>
    </row>
    <row r="13" spans="1:2" x14ac:dyDescent="0.3">
      <c r="A13" s="11" t="s">
        <v>45</v>
      </c>
      <c r="B13">
        <v>3</v>
      </c>
    </row>
    <row r="14" spans="1:2" x14ac:dyDescent="0.3">
      <c r="A14" s="11" t="s">
        <v>41</v>
      </c>
      <c r="B14">
        <v>4</v>
      </c>
    </row>
    <row r="15" spans="1:2" x14ac:dyDescent="0.3">
      <c r="A15" s="11" t="s">
        <v>49</v>
      </c>
      <c r="B15">
        <v>4</v>
      </c>
    </row>
    <row r="16" spans="1:2" x14ac:dyDescent="0.3">
      <c r="A16" s="11" t="s">
        <v>43</v>
      </c>
      <c r="B16">
        <v>6</v>
      </c>
    </row>
    <row r="17" spans="1:2" x14ac:dyDescent="0.3">
      <c r="A17" s="11" t="s">
        <v>51</v>
      </c>
      <c r="B17">
        <v>9</v>
      </c>
    </row>
    <row r="18" spans="1:2" x14ac:dyDescent="0.3">
      <c r="A18" s="11" t="s">
        <v>61</v>
      </c>
      <c r="B18">
        <v>12</v>
      </c>
    </row>
    <row r="19" spans="1:2" x14ac:dyDescent="0.3">
      <c r="A19" s="11" t="s">
        <v>15</v>
      </c>
      <c r="B19">
        <v>3</v>
      </c>
    </row>
    <row r="20" spans="1:2" x14ac:dyDescent="0.3">
      <c r="A20" s="11" t="s">
        <v>13</v>
      </c>
      <c r="B20">
        <v>15</v>
      </c>
    </row>
    <row r="21" spans="1:2" x14ac:dyDescent="0.3">
      <c r="A21" s="11" t="s">
        <v>83</v>
      </c>
      <c r="B21">
        <v>9</v>
      </c>
    </row>
    <row r="22" spans="1:2" x14ac:dyDescent="0.3">
      <c r="A22" s="11" t="s">
        <v>9</v>
      </c>
      <c r="B22">
        <v>10</v>
      </c>
    </row>
    <row r="23" spans="1:2" x14ac:dyDescent="0.3">
      <c r="A23" s="11" t="s">
        <v>85</v>
      </c>
      <c r="B23">
        <v>6</v>
      </c>
    </row>
    <row r="24" spans="1:2" x14ac:dyDescent="0.3">
      <c r="A24" s="11" t="s">
        <v>93</v>
      </c>
      <c r="B24">
        <v>5</v>
      </c>
    </row>
    <row r="25" spans="1:2" x14ac:dyDescent="0.3">
      <c r="A25" s="11" t="s">
        <v>11</v>
      </c>
      <c r="B25">
        <v>5</v>
      </c>
    </row>
    <row r="26" spans="1:2" x14ac:dyDescent="0.3">
      <c r="A26" s="11" t="s">
        <v>69</v>
      </c>
      <c r="B26">
        <v>3</v>
      </c>
    </row>
    <row r="27" spans="1:2" x14ac:dyDescent="0.3">
      <c r="A27" s="11" t="s">
        <v>55</v>
      </c>
      <c r="B27">
        <v>5</v>
      </c>
    </row>
    <row r="28" spans="1:2" x14ac:dyDescent="0.3">
      <c r="A28" s="11" t="s">
        <v>71</v>
      </c>
      <c r="B28">
        <v>8</v>
      </c>
    </row>
    <row r="29" spans="1:2" x14ac:dyDescent="0.3">
      <c r="A29" s="11" t="s">
        <v>65</v>
      </c>
      <c r="B29">
        <v>9</v>
      </c>
    </row>
    <row r="30" spans="1:2" x14ac:dyDescent="0.3">
      <c r="A30" s="11" t="s">
        <v>37</v>
      </c>
      <c r="B30">
        <v>8</v>
      </c>
    </row>
    <row r="31" spans="1:2" x14ac:dyDescent="0.3">
      <c r="A31" s="11" t="s">
        <v>63</v>
      </c>
      <c r="B31">
        <v>6</v>
      </c>
    </row>
    <row r="32" spans="1:2" x14ac:dyDescent="0.3">
      <c r="A32" s="11" t="s">
        <v>81</v>
      </c>
      <c r="B32">
        <v>4</v>
      </c>
    </row>
    <row r="33" spans="1:2" x14ac:dyDescent="0.3">
      <c r="A33" s="11" t="s">
        <v>57</v>
      </c>
      <c r="B33">
        <v>11</v>
      </c>
    </row>
    <row r="34" spans="1:2" x14ac:dyDescent="0.3">
      <c r="A34" s="11" t="s">
        <v>21</v>
      </c>
      <c r="B34">
        <v>12</v>
      </c>
    </row>
    <row r="35" spans="1:2" x14ac:dyDescent="0.3">
      <c r="A35" s="11" t="s">
        <v>17</v>
      </c>
      <c r="B35">
        <v>20</v>
      </c>
    </row>
    <row r="36" spans="1:2" x14ac:dyDescent="0.3">
      <c r="A36" s="11" t="s">
        <v>59</v>
      </c>
      <c r="B36">
        <v>8</v>
      </c>
    </row>
    <row r="37" spans="1:2" x14ac:dyDescent="0.3">
      <c r="A37" s="11" t="s">
        <v>19</v>
      </c>
      <c r="B37">
        <v>8</v>
      </c>
    </row>
    <row r="38" spans="1:2" x14ac:dyDescent="0.3">
      <c r="A38" s="11" t="s">
        <v>73</v>
      </c>
      <c r="B38">
        <v>5</v>
      </c>
    </row>
    <row r="39" spans="1:2" x14ac:dyDescent="0.3">
      <c r="A39" s="11" t="s">
        <v>33</v>
      </c>
      <c r="B39">
        <v>12</v>
      </c>
    </row>
    <row r="40" spans="1:2" x14ac:dyDescent="0.3">
      <c r="A40" s="11" t="s">
        <v>87</v>
      </c>
      <c r="B40">
        <v>4</v>
      </c>
    </row>
    <row r="41" spans="1:2" x14ac:dyDescent="0.3">
      <c r="A41" s="11" t="s">
        <v>91</v>
      </c>
      <c r="B41">
        <v>4</v>
      </c>
    </row>
    <row r="42" spans="1:2" x14ac:dyDescent="0.3">
      <c r="A42" s="11" t="s">
        <v>97</v>
      </c>
      <c r="B42">
        <v>9</v>
      </c>
    </row>
    <row r="43" spans="1:2" x14ac:dyDescent="0.3">
      <c r="A43" s="11" t="s">
        <v>27</v>
      </c>
      <c r="B43">
        <v>10</v>
      </c>
    </row>
    <row r="44" spans="1:2" x14ac:dyDescent="0.3">
      <c r="A44" s="11" t="s">
        <v>77</v>
      </c>
      <c r="B44">
        <v>3</v>
      </c>
    </row>
    <row r="45" spans="1:2" x14ac:dyDescent="0.3">
      <c r="A45" s="11" t="s">
        <v>95</v>
      </c>
      <c r="B45">
        <v>7</v>
      </c>
    </row>
    <row r="46" spans="1:2" x14ac:dyDescent="0.3">
      <c r="A46" s="11" t="s">
        <v>25</v>
      </c>
      <c r="B46">
        <v>7</v>
      </c>
    </row>
    <row r="47" spans="1:2" x14ac:dyDescent="0.3">
      <c r="A47" s="11" t="s">
        <v>39</v>
      </c>
      <c r="B47">
        <v>5</v>
      </c>
    </row>
    <row r="48" spans="1:2" x14ac:dyDescent="0.3">
      <c r="A48" s="11" t="s">
        <v>104</v>
      </c>
      <c r="B48">
        <v>314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Inventory Records Data</vt:lpstr>
      <vt:lpstr>TOP3 PRODUCTS</vt:lpstr>
      <vt:lpstr>sum of purchase</vt:lpstr>
      <vt:lpstr>stock level </vt:lpstr>
      <vt:lpstr>Sum of number units sold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vignesh R</cp:lastModifiedBy>
  <dcterms:created xsi:type="dcterms:W3CDTF">2024-02-19T11:46:38Z</dcterms:created>
  <dcterms:modified xsi:type="dcterms:W3CDTF">2026-02-17T02:42:17Z</dcterms:modified>
</cp:coreProperties>
</file>